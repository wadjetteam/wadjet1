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037986-7038-40E7-8E52-94143364A7E3}" xr6:coauthVersionLast="36" xr6:coauthVersionMax="36" xr10:uidLastSave="{00000000-0000-0000-0000-000000000000}"/>
  <bookViews>
    <workbookView xWindow="0" yWindow="0" windowWidth="28800" windowHeight="12060" tabRatio="500" activeTab="7" xr2:uid="{00000000-000D-0000-FFFF-FFFF00000000}"/>
  </bookViews>
  <sheets>
    <sheet name="Cover" sheetId="1" r:id="rId1"/>
    <sheet name="Document Information" sheetId="2" r:id="rId2"/>
    <sheet name="Risk ID Checklist – EN" sheetId="3" r:id="rId3"/>
    <sheet name="Risk ID Checklist – AR" sheetId="4" r:id="rId4"/>
    <sheet name="Risk Methodology" sheetId="5" r:id="rId5"/>
    <sheet name="Risk Scoring Template" sheetId="6" r:id="rId6"/>
    <sheet name="Risk Rigister" sheetId="7" r:id="rId7"/>
    <sheet name="Mitigation Plan" sheetId="8" r:id="rId8"/>
    <sheet name="Budget Assumptions" sheetId="9" r:id="rId9"/>
    <sheet name="Risk Methodology Ref" sheetId="10" r:id="rId10"/>
    <sheet name="Risk Assessment Matrix" sheetId="11" r:id="rId11"/>
    <sheet name="Risk Heat Map" sheetId="12" r:id="rId12"/>
    <sheet name="Summary Dashboard" sheetId="13" r:id="rId13"/>
  </sheets>
  <definedNames>
    <definedName name="_xlnm._FilterDatabase" localSheetId="7" hidden="1">'Mitigation Plan'!$A$2:$R$2</definedName>
    <definedName name="_xlnm._FilterDatabase" localSheetId="6" hidden="1">'Risk Rigister'!$A$3:$AF$3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1" i="9" l="1"/>
  <c r="D89" i="9"/>
  <c r="D87" i="9"/>
  <c r="D85" i="9"/>
  <c r="D83" i="9"/>
  <c r="D81" i="9"/>
  <c r="D79" i="9"/>
  <c r="D76" i="9"/>
  <c r="D73" i="9"/>
  <c r="D70" i="9"/>
  <c r="D67" i="9"/>
  <c r="D64" i="9"/>
  <c r="D62" i="9"/>
  <c r="D59" i="9"/>
  <c r="D56" i="9"/>
  <c r="D53" i="9"/>
  <c r="D50" i="9"/>
  <c r="D48" i="9"/>
  <c r="D46" i="9"/>
  <c r="D43" i="9"/>
  <c r="D40" i="9"/>
  <c r="D38" i="9"/>
  <c r="D35" i="9"/>
  <c r="D32" i="9"/>
  <c r="D29" i="9"/>
  <c r="D26" i="9"/>
  <c r="D23" i="9"/>
  <c r="D20" i="9"/>
  <c r="D17" i="9"/>
  <c r="D13" i="9"/>
  <c r="D11" i="9"/>
  <c r="D7" i="9"/>
  <c r="D92" i="9" s="1"/>
  <c r="B20" i="6"/>
  <c r="B22" i="6" s="1"/>
</calcChain>
</file>

<file path=xl/sharedStrings.xml><?xml version="1.0" encoding="utf-8"?>
<sst xmlns="http://schemas.openxmlformats.org/spreadsheetml/2006/main" count="2672" uniqueCount="1325">
  <si>
    <t>WADJET GRC — RISK REGISTER &amp; MITIGATION PLAN</t>
  </si>
  <si>
    <t>Confidential  |  Version 1.0  |  Date: 2026-06-06  |  Prepared by: Cybersecurity / GRC Function</t>
  </si>
  <si>
    <t>Total Risks</t>
  </si>
  <si>
    <t>Critical</t>
  </si>
  <si>
    <t>High</t>
  </si>
  <si>
    <t>Total Budget</t>
  </si>
  <si>
    <t>Est. Loss</t>
  </si>
  <si>
    <t>48</t>
  </si>
  <si>
    <t>11</t>
  </si>
  <si>
    <t>34</t>
  </si>
  <si>
    <t>$4.275M</t>
  </si>
  <si>
    <t>$109M</t>
  </si>
  <si>
    <t>WORKBOOK CONTENTS</t>
  </si>
  <si>
    <t>Document Information</t>
  </si>
  <si>
    <t>Organisation metadata and classification</t>
  </si>
  <si>
    <t>Risk Methodology</t>
  </si>
  <si>
    <t>Scoring matrix and escalation thresholds</t>
  </si>
  <si>
    <t>Risk Register</t>
  </si>
  <si>
    <t>Full 48-risk inventory with scores and existing controls</t>
  </si>
  <si>
    <t>Mitigation Plan</t>
  </si>
  <si>
    <t>Detailed action plans, owners, budgets, RAG status per risk</t>
  </si>
  <si>
    <t>Summary Dashboard</t>
  </si>
  <si>
    <t>Executive overview by category, budget, and estimated loss</t>
  </si>
  <si>
    <t>Risk Methodology Ref</t>
  </si>
  <si>
    <t>Likelihood &amp; impact scale reference card</t>
  </si>
  <si>
    <t>RAG STATUS LEGEND</t>
  </si>
  <si>
    <t>🟢 Green</t>
  </si>
  <si>
    <t>On track — all actions progressing as planned</t>
  </si>
  <si>
    <t>🟡 Amber</t>
  </si>
  <si>
    <t>Minor delay — at risk but recoverable</t>
  </si>
  <si>
    <t>🔴 Red</t>
  </si>
  <si>
    <t>Escalation required — immediate action needed</t>
  </si>
  <si>
    <t>DOCUMENT INFORMATION</t>
  </si>
  <si>
    <t>Wadjet GRC Platform  —  Risk Register &amp; Mitigation Plan</t>
  </si>
  <si>
    <t>Field</t>
  </si>
  <si>
    <t>Value</t>
  </si>
  <si>
    <t>Organization</t>
  </si>
  <si>
    <t>(Enter organisation name)</t>
  </si>
  <si>
    <t>Sector</t>
  </si>
  <si>
    <t>(e.g. Banking &amp; Financial Services)</t>
  </si>
  <si>
    <t>Scope</t>
  </si>
  <si>
    <t>(e.g. Enterprise-wide Cybersecurity &amp; GRC)</t>
  </si>
  <si>
    <t>Classification</t>
  </si>
  <si>
    <t>Confidential</t>
  </si>
  <si>
    <t>Version</t>
  </si>
  <si>
    <t>1.0</t>
  </si>
  <si>
    <t>Date</t>
  </si>
  <si>
    <t>2026-06-06</t>
  </si>
  <si>
    <t>Prepared By</t>
  </si>
  <si>
    <t>Cybersecurity / GRC Function</t>
  </si>
  <si>
    <t>Approved By</t>
  </si>
  <si>
    <t>Plant Management / Risk Committee</t>
  </si>
  <si>
    <t>ℹ️  Fill in the highlighted cells (Organisation, Sector, Scope) before distributing this document.</t>
  </si>
  <si>
    <t>RISK IDENTIFICATION CHECKLIST  —  ENGLISH</t>
  </si>
  <si>
    <t>Use this checklist to identify potential risks across all organisational domains   |   Tick all that apply</t>
  </si>
  <si>
    <t>#</t>
  </si>
  <si>
    <t>Risk Category</t>
  </si>
  <si>
    <t>Risk Question / Checklist Item</t>
  </si>
  <si>
    <t>Yes</t>
  </si>
  <si>
    <t>No</t>
  </si>
  <si>
    <t>Partially</t>
  </si>
  <si>
    <t>Notes</t>
  </si>
  <si>
    <t xml:space="preserve">  CYBERSECURITY</t>
  </si>
  <si>
    <t>CYBERSECURITY</t>
  </si>
  <si>
    <t>Is there a risk of phishing or social engineering attacks on employees?</t>
  </si>
  <si>
    <t>Is there a risk of ransomware or malware infecting endpoints?</t>
  </si>
  <si>
    <t>Are critical systems at risk from unpatched vulnerabilities?</t>
  </si>
  <si>
    <t>Is there a risk of unauthorized access to privileged accounts?</t>
  </si>
  <si>
    <t>Is there a risk of credential stuffing or brute force attacks?</t>
  </si>
  <si>
    <t>Is network segmentation insufficient to prevent lateral movement?</t>
  </si>
  <si>
    <t>Is there a risk from API vulnerabilities in digital services?</t>
  </si>
  <si>
    <t xml:space="preserve">  INFORMATION SECURITY</t>
  </si>
  <si>
    <t>INFORMATION SECURITY</t>
  </si>
  <si>
    <t>Is there a risk of sensitive customer data leakage?</t>
  </si>
  <si>
    <t>Are databases at risk of misconfiguration or unauthorised access?</t>
  </si>
  <si>
    <t>Is there a risk of insider threats from employees with elevated access?</t>
  </si>
  <si>
    <t>Is multi-factor authentication (MFA) not enforced across all systems?</t>
  </si>
  <si>
    <t>Is there a risk from misuse of privileged or administrative accounts?</t>
  </si>
  <si>
    <t xml:space="preserve">  COMPLIANCE &amp; LEGAL</t>
  </si>
  <si>
    <t>COMPLIANCE &amp; LEGAL</t>
  </si>
  <si>
    <t>Is there a risk of non-compliance with CBE regulations?</t>
  </si>
  <si>
    <t>Is there a risk of violating data residency requirements (PDPL)?</t>
  </si>
  <si>
    <t>Is there a risk of failing to report a breach within 72 hours (PDPL)?</t>
  </si>
  <si>
    <t>Are Data Protection Impact Assessments (DPIAs) not being conducted?</t>
  </si>
  <si>
    <t>Is the Data Protection Officer (DPO) formally appointed and registered?</t>
  </si>
  <si>
    <t>Are Records of Processing Activities (ROPA) maintained and up to date?</t>
  </si>
  <si>
    <t>Is there a risk of cross-border data transfers without regulatory approval?</t>
  </si>
  <si>
    <t xml:space="preserve">  OPERATIONAL &amp; BCP</t>
  </si>
  <si>
    <t>OPERATIONAL &amp; BCP</t>
  </si>
  <si>
    <t>Is there a risk of backup failure or inability to restore systems?</t>
  </si>
  <si>
    <t>Has a Business Continuity Plan (BCP) been tested recently?</t>
  </si>
  <si>
    <t>Are unauthorized system changes a risk due to weak change controls?</t>
  </si>
  <si>
    <t>Is there a risk of service outage from digital resilience test failures?</t>
  </si>
  <si>
    <t>Are automated workflows at risk of failure affecting audit evidence?</t>
  </si>
  <si>
    <t xml:space="preserve">  THIRD PARTY RISK</t>
  </si>
  <si>
    <t>THIRD PARTY RISK</t>
  </si>
  <si>
    <t>Is there a risk of a security breach through a vendor or supplier?</t>
  </si>
  <si>
    <t>Are third-party data processing agreements (DPAs) in place?</t>
  </si>
  <si>
    <t>Is there excessive dependency on a single cloud or ICT provider?</t>
  </si>
  <si>
    <t>Are software supply chain risks managed (open-source libraries, SBOMs)?</t>
  </si>
  <si>
    <t>Is there a formal vendor security assessment program?</t>
  </si>
  <si>
    <t xml:space="preserve">  HUMAN RISK</t>
  </si>
  <si>
    <t>HUMAN RISK</t>
  </si>
  <si>
    <t>Is employee security awareness training conducted regularly?</t>
  </si>
  <si>
    <t>Is there a risk from vishing (voice-based social engineering) attacks?</t>
  </si>
  <si>
    <t>Is there a risk from AI-generated deepfake social engineering?</t>
  </si>
  <si>
    <t>Are insider threat detection controls (UEBA) in place?</t>
  </si>
  <si>
    <t xml:space="preserve">  APPLICATION &amp; MOBILE SECURITY</t>
  </si>
  <si>
    <t>APPLICATION &amp; MOBILE SECURITY</t>
  </si>
  <si>
    <t>Is the mobile banking application protected against reverse engineering?</t>
  </si>
  <si>
    <t>Is there a risk from mobile banking trojans on customer devices?</t>
  </si>
  <si>
    <t>Are open banking APIs secured with gateway, WAF and rate limiting?</t>
  </si>
  <si>
    <t xml:space="preserve">  CLOUD, PHYSICAL &amp; AI</t>
  </si>
  <si>
    <t>CLOUD, PHYSICAL &amp; AI</t>
  </si>
  <si>
    <t>Are cloud resources at risk of misconfiguration (public buckets)?</t>
  </si>
  <si>
    <t>Is there a risk of physical breach to the data centre?</t>
  </si>
  <si>
    <t>Is there a risk of ATM skimming or card fraud?</t>
  </si>
  <si>
    <t>Are employees exposing sensitive data through public AI tools?</t>
  </si>
  <si>
    <t xml:space="preserve">  RISK MANAGEMENT &amp; GRC</t>
  </si>
  <si>
    <t>RISK MANAGEMENT &amp; GRC</t>
  </si>
  <si>
    <t>Are risk scores and heatmaps calculated and validated correctly?</t>
  </si>
  <si>
    <t>Is compliance framework mapping accurate and reviewed regularly?</t>
  </si>
  <si>
    <t>قائمة التحقق من تحديد المخاطر — عربي</t>
  </si>
  <si>
    <t>استخدم هذه القائمة لتحديد المخاطر المحتملة في جميع مجالات المنظمة   |   ضع علامة على كل ما ينطبق</t>
  </si>
  <si>
    <t>فئة المخاطر</t>
  </si>
  <si>
    <t>سؤال التحقق / البند</t>
  </si>
  <si>
    <t>نعم</t>
  </si>
  <si>
    <t>لا</t>
  </si>
  <si>
    <t>جزئياً</t>
  </si>
  <si>
    <t>ملاحظات</t>
  </si>
  <si>
    <t xml:space="preserve">  الأمن السيبراني</t>
  </si>
  <si>
    <t>الأمن السيبراني</t>
  </si>
  <si>
    <t>هل هناك خطر من هجمات التصيد الاحتيالي أو الهندسة الاجتماعية على الموظفين؟</t>
  </si>
  <si>
    <t>هل هناك خطر إصابة الأجهزة بالفدية أو البرمجيات الخبيثة؟</t>
  </si>
  <si>
    <t>هل الأنظمة الحيوية معرضة للخطر بسبب ثغرات غير مُرقَّعة؟</t>
  </si>
  <si>
    <t>هل هناك خطر من وصول غير مصرح به إلى الحسابات ذات الامتيازات؟</t>
  </si>
  <si>
    <t>هل هناك خطر من هجمات حشو بيانات الاعتماد أو القوة الغاشمة؟</t>
  </si>
  <si>
    <t>هل تجزئة الشبكة غير كافية للحد من التحرك الأفقي؟</t>
  </si>
  <si>
    <t>هل هناك خطر من ثغرات واجهات برمجة التطبيقات (API) في الخدمات الرقمية؟</t>
  </si>
  <si>
    <t xml:space="preserve">  أمن المعلومات</t>
  </si>
  <si>
    <t>أمن المعلومات</t>
  </si>
  <si>
    <t>هل هناك خطر من تسريب بيانات العملاء الحساسة؟</t>
  </si>
  <si>
    <t>هل قواعد البيانات معرضة للخطر بسبب إعدادات خاطئة أو وصول غير مصرح به؟</t>
  </si>
  <si>
    <t>هل هناك خطر من تهديدات داخلية من موظفين يتمتعون بصلاحيات مرتفعة؟</t>
  </si>
  <si>
    <t>هل لم يتم فرض المصادقة متعددة العوامل (MFA) على جميع الأنظمة؟</t>
  </si>
  <si>
    <t>هل هناك خطر من إساءة استخدام الحسابات ذات الامتيازات أو الإدارية؟</t>
  </si>
  <si>
    <t xml:space="preserve">  الامتثال والشؤون القانونية</t>
  </si>
  <si>
    <t>الامتثال والشؤون القانونية</t>
  </si>
  <si>
    <t>هل هناك خطر من عدم الامتثال للوائح البنك المركزي المصري؟</t>
  </si>
  <si>
    <t>هل هناك خطر من انتهاك اشتراطات إقامة البيانات (قانون حماية البيانات الشخصية)؟</t>
  </si>
  <si>
    <t>هل هناك خطر من عدم الإبلاغ عن الاختراق خلال 72 ساعة؟</t>
  </si>
  <si>
    <t>هل يتم إجراء تقييمات أثر حماية البيانات (DPIA) عند اللزوم؟</t>
  </si>
  <si>
    <t>هل تم تعيين وتسجيل مسؤول حماية البيانات (DPO) رسمياً؟</t>
  </si>
  <si>
    <t>هل يتم الاحتفاظ بسجلات أنشطة المعالجة (ROPA) ومراجعتها بانتظام؟</t>
  </si>
  <si>
    <t>هل هناك خطر من نقل البيانات عبر الحدود دون موافقة تنظيمية؟</t>
  </si>
  <si>
    <t xml:space="preserve">  المخاطر التشغيلية وخطط الاستمرارية</t>
  </si>
  <si>
    <t>المخاطر التشغيلية وخطط الاستمرارية</t>
  </si>
  <si>
    <t>هل هناك خطر من فشل النسخ الاحتياطي أو عدم القدرة على استعادة الأنظمة؟</t>
  </si>
  <si>
    <t>هل تم اختبار خطة استمرارية الأعمال (BCP) مؤخراً؟</t>
  </si>
  <si>
    <t>هل التغييرات غير المصرح بها مخاطرة بسبب ضعف إجراءات إدارة التغيير؟</t>
  </si>
  <si>
    <t>هل هناك خطر من انقطاع الخدمة نتيجة إخفاق اختبارات المرونة الرقمية؟</t>
  </si>
  <si>
    <t>هل سير العمل الآلية معرضة لأعطال تؤثر على أدلة التدقيق؟</t>
  </si>
  <si>
    <t xml:space="preserve">  مخاطر الأطراف الثالثة</t>
  </si>
  <si>
    <t>مخاطر الأطراف الثالثة</t>
  </si>
  <si>
    <t>هل هناك خطر من اختراق أمني عبر مورد أو مزود خدمة؟</t>
  </si>
  <si>
    <t>هل اتفاقيات معالجة البيانات (DPA) مع الأطراف الثالثة مُبرمة؟</t>
  </si>
  <si>
    <t>هل هناك اعتماد مفرط على مزود سحابة أو خدمات تقنية واحد؟</t>
  </si>
  <si>
    <t>هل يتم إدارة مخاطر سلسلة توريد البرمجيات (المكتبات مفتوحة المصدر، SBOM)؟</t>
  </si>
  <si>
    <t>هل يوجد برنامج رسمي لتقييم أمن الموردين؟</t>
  </si>
  <si>
    <t xml:space="preserve">  المخاطر البشرية</t>
  </si>
  <si>
    <t>المخاطر البشرية</t>
  </si>
  <si>
    <t>هل يتم إجراء تدريب منتظم للتوعية الأمنية للموظفين؟</t>
  </si>
  <si>
    <t>هل هناك خطر من هجمات التصيد الصوتي (Vishing)؟</t>
  </si>
  <si>
    <t>هل هناك خطر من هجمات الهندسة الاجتماعية باستخدام التزييف العميق (Deepfake)؟</t>
  </si>
  <si>
    <t>هل ضوابط اكتشاف التهديدات الداخلية (UEBA) مطبقة؟</t>
  </si>
  <si>
    <t xml:space="preserve">  أمن التطبيقات والهواتف المحمولة</t>
  </si>
  <si>
    <t>أمن التطبيقات والهواتف المحمولة</t>
  </si>
  <si>
    <t>هل تطبيق الهاتف المحمول محمي من الهندسة العكسية؟</t>
  </si>
  <si>
    <t>هل هناك خطر من إصابة أجهزة العملاء ببرامج التجسس المصرفية؟</t>
  </si>
  <si>
    <t>هل واجهات برمجة التطبيقات المصرفية مؤمنة بـ API Gateway وجدار حماية ومعدل طلبات محدود؟</t>
  </si>
  <si>
    <t xml:space="preserve">  السحابة والأمن المادي والذكاء الاصطناعي</t>
  </si>
  <si>
    <t>السحابة والأمن المادي والذكاء الاصطناعي</t>
  </si>
  <si>
    <t>هل الموارد السحابية معرضة لخطر الإعدادات الخاطئة (الحاويات العامة)؟</t>
  </si>
  <si>
    <t>هل هناك خطر من اختراق مادي لمركز البيانات؟</t>
  </si>
  <si>
    <t>هل هناك خطر من قرصنة أجهزة الصراف الآلي أو احتيال البطاقات؟</t>
  </si>
  <si>
    <t>هل يتسرب الموظفون ببيانات حساسة عبر أدوات الذكاء الاصطناعي العامة؟</t>
  </si>
  <si>
    <t xml:space="preserve">  إدارة المخاطر وحوكمة مخاطر الامتثال</t>
  </si>
  <si>
    <t>إدارة المخاطر وحوكمة مخاطر الامتثال</t>
  </si>
  <si>
    <t>هل يتم حساب درجات المخاطر وخرائطها والتحقق منها بشكل صحيح؟</t>
  </si>
  <si>
    <t>هل رسم خرائط إطار الامتثال دقيق ويُراجع بانتظام؟</t>
  </si>
  <si>
    <t>RISK SCORING METHODOLOGY</t>
  </si>
  <si>
    <t>Risk Score  =  Likelihood  ×  Impact       Range: 1 – 25</t>
  </si>
  <si>
    <t>LIKELIHOOD SCALE</t>
  </si>
  <si>
    <t>IMPACT SCALE</t>
  </si>
  <si>
    <t>Score</t>
  </si>
  <si>
    <t>Level</t>
  </si>
  <si>
    <t>Description</t>
  </si>
  <si>
    <t>Very Unlikely</t>
  </si>
  <si>
    <t>Rarely occurs</t>
  </si>
  <si>
    <t>Very Low</t>
  </si>
  <si>
    <t>Minor disruption, negligible financial impact</t>
  </si>
  <si>
    <t>Unlikely</t>
  </si>
  <si>
    <t>May occur once in 5+ years</t>
  </si>
  <si>
    <t>Low</t>
  </si>
  <si>
    <t>Limited disruption, minor financial impact, no safety impact</t>
  </si>
  <si>
    <t>Possible</t>
  </si>
  <si>
    <t>May occur once in 1–5 years</t>
  </si>
  <si>
    <t>Medium</t>
  </si>
  <si>
    <t>Moderate disruption, significant financial impact, minor safety impact</t>
  </si>
  <si>
    <t>Likely</t>
  </si>
  <si>
    <t>May occur annually</t>
  </si>
  <si>
    <t>Major disruption, severe financial impact, moderate safety impact, reputational damage</t>
  </si>
  <si>
    <t>Very Likely</t>
  </si>
  <si>
    <t>Expected to occur frequently</t>
  </si>
  <si>
    <t>Catastrophic disruption, extreme financial loss, severe safety impact, regulatory non-compliance</t>
  </si>
  <si>
    <t>OVERALL INHERENT RISK RATING</t>
  </si>
  <si>
    <t>Score Range</t>
  </si>
  <si>
    <t>Risk Level</t>
  </si>
  <si>
    <t>Escalation Path</t>
  </si>
  <si>
    <t>1 – 2</t>
  </si>
  <si>
    <t>Managed at Operational Team Level</t>
  </si>
  <si>
    <t>3 – 4</t>
  </si>
  <si>
    <t>Managed by System / Asset Owner (e.g., IT Manager / Operations Manager)</t>
  </si>
  <si>
    <t>5 – 10</t>
  </si>
  <si>
    <t>Escalate to Head of Department / Risk Management Team</t>
  </si>
  <si>
    <t>12 – 16</t>
  </si>
  <si>
    <t>Escalate to C-Suite (CEO / CRO / CISO) via the GRC Committee</t>
  </si>
  <si>
    <t>20 – 25</t>
  </si>
  <si>
    <t>Escalate to the Board of Directors via the Enterprise Risk Register (ERR)</t>
  </si>
  <si>
    <t>ESCALATION FRAMEWORK</t>
  </si>
  <si>
    <t>🔴  Score 20–25  CRITICAL</t>
  </si>
  <si>
    <t>🟠  Score 12–16  HIGH</t>
  </si>
  <si>
    <t>🟡  Score 5–10   MEDIUM</t>
  </si>
  <si>
    <t>🟢  Score 3–4    LOW</t>
  </si>
  <si>
    <t>🔵  Score 1–2    VERY LOW</t>
  </si>
  <si>
    <t>RISK SCORING TEMPLATE</t>
  </si>
  <si>
    <t>Complete one template per risk assessed   |   Risk Score = Likelihood × Impact</t>
  </si>
  <si>
    <t xml:space="preserve">  SECTION 1 — RISK IDENTIFICATION</t>
  </si>
  <si>
    <t xml:space="preserve">  Risk ID</t>
  </si>
  <si>
    <t xml:space="preserve">  Risk Title</t>
  </si>
  <si>
    <t xml:space="preserve">  Date Assessed</t>
  </si>
  <si>
    <t xml:space="preserve">  Assessed By</t>
  </si>
  <si>
    <t xml:space="preserve">  Risk Category</t>
  </si>
  <si>
    <t xml:space="preserve">  Asset / System</t>
  </si>
  <si>
    <t xml:space="preserve">  Risk Owner</t>
  </si>
  <si>
    <t xml:space="preserve">  SECTION 2 — RISK SCORING</t>
  </si>
  <si>
    <t>Likelihood Scale →</t>
  </si>
  <si>
    <t>1 – Very Unlikely</t>
  </si>
  <si>
    <t>2 – Unlikely</t>
  </si>
  <si>
    <t>3 – Possible</t>
  </si>
  <si>
    <t>4 – Likely</t>
  </si>
  <si>
    <t>5 – Very Likely</t>
  </si>
  <si>
    <t xml:space="preserve">  Selected Likelihood (1–5)</t>
  </si>
  <si>
    <t>Impact Scale →</t>
  </si>
  <si>
    <t>1 – Very Low</t>
  </si>
  <si>
    <t>2 – Low</t>
  </si>
  <si>
    <t>3 – Medium</t>
  </si>
  <si>
    <t>4 – High</t>
  </si>
  <si>
    <t>5 – Critical</t>
  </si>
  <si>
    <t xml:space="preserve">  Selected Impact (1–5)</t>
  </si>
  <si>
    <t xml:space="preserve">  RISK SCORE  =  Likelihood × Impact</t>
  </si>
  <si>
    <t xml:space="preserve">  RISK LEVEL</t>
  </si>
  <si>
    <t xml:space="preserve">  SECTION 3 — TREATMENT &amp; OWNERSHIP</t>
  </si>
  <si>
    <t xml:space="preserve">  Recommended Action</t>
  </si>
  <si>
    <t xml:space="preserve">  Mitigation Description</t>
  </si>
  <si>
    <t xml:space="preserve">  Residual Likelihood</t>
  </si>
  <si>
    <t xml:space="preserve">  Residual Impact</t>
  </si>
  <si>
    <t xml:space="preserve">  Target Date</t>
  </si>
  <si>
    <t xml:space="preserve">  Review Frequency</t>
  </si>
  <si>
    <t xml:space="preserve">  SECTION 4 — NOTES &amp; COMMENTS</t>
  </si>
  <si>
    <t>WADJET GRC — RISK REGISTER     |     48 Risks     |     Confidential</t>
  </si>
  <si>
    <t>RISK SCENARIO</t>
  </si>
  <si>
    <t>LIKELIHOOD</t>
  </si>
  <si>
    <t>IMPACT DIMENSIONS</t>
  </si>
  <si>
    <t>RISK SCORING</t>
  </si>
  <si>
    <t>CONTROL &amp; RESIDUAL</t>
  </si>
  <si>
    <t>TREATMENT &amp; MITIGATION</t>
  </si>
  <si>
    <t>Risk ID</t>
  </si>
  <si>
    <t>Process</t>
  </si>
  <si>
    <t>Sub-Process</t>
  </si>
  <si>
    <t>Asset / System</t>
  </si>
  <si>
    <t>Owner Team</t>
  </si>
  <si>
    <t>Threat</t>
  </si>
  <si>
    <t>Vulnerability</t>
  </si>
  <si>
    <t>Severity</t>
  </si>
  <si>
    <t>Risk Title</t>
  </si>
  <si>
    <t>Risk Description</t>
  </si>
  <si>
    <t>Risk Ref</t>
  </si>
  <si>
    <t>Likelihood</t>
  </si>
  <si>
    <t>Finance</t>
  </si>
  <si>
    <t>Regulatory</t>
  </si>
  <si>
    <t>Reputational</t>
  </si>
  <si>
    <t>Safety</t>
  </si>
  <si>
    <t>Operational</t>
  </si>
  <si>
    <t>C</t>
  </si>
  <si>
    <t>I</t>
  </si>
  <si>
    <t>A</t>
  </si>
  <si>
    <t>Overall Score</t>
  </si>
  <si>
    <t>Risk Score</t>
  </si>
  <si>
    <t>Inherent Level</t>
  </si>
  <si>
    <t>Existing Controls</t>
  </si>
  <si>
    <t>Residual Score</t>
  </si>
  <si>
    <t>Overall Risk</t>
  </si>
  <si>
    <t>Treatment</t>
  </si>
  <si>
    <t>Status</t>
  </si>
  <si>
    <t>Mitigation Actions</t>
  </si>
  <si>
    <t>Deadline</t>
  </si>
  <si>
    <t>Owner</t>
  </si>
  <si>
    <t>R-001</t>
  </si>
  <si>
    <t>Information Security Management</t>
  </si>
  <si>
    <t>Email Security</t>
  </si>
  <si>
    <t>Microsoft Exchange</t>
  </si>
  <si>
    <t>SOC Team</t>
  </si>
  <si>
    <t>Cybersecurity</t>
  </si>
  <si>
    <t>Phishing Attack</t>
  </si>
  <si>
    <t>Lack of Security Awareness</t>
  </si>
  <si>
    <t>Credential Theft Through Phishing</t>
  </si>
  <si>
    <t>Employees may disclose credentials through phishing emails leading to unauthorized access.</t>
  </si>
  <si>
    <t>Email Gateway
MFA
Awareness Training</t>
  </si>
  <si>
    <t>Mitigate</t>
  </si>
  <si>
    <t>Open</t>
  </si>
  <si>
    <t>Conduct quarterly phishing simulations and awareness campaigns</t>
  </si>
  <si>
    <t>SOC Manager</t>
  </si>
  <si>
    <t>R-002</t>
  </si>
  <si>
    <t>Endpoint Security</t>
  </si>
  <si>
    <t>Malware Protection</t>
  </si>
  <si>
    <t>End User Devices</t>
  </si>
  <si>
    <t>Ransomware</t>
  </si>
  <si>
    <t>Unpatched Endpoints</t>
  </si>
  <si>
    <t>Ransomware Attack</t>
  </si>
  <si>
    <t>Malware encrypts business-critical data causing service disruption</t>
  </si>
  <si>
    <t>EDR, Antivirus, Backups</t>
  </si>
  <si>
    <t>Monthly vulnerability management and backup testing</t>
  </si>
  <si>
    <t>R-003</t>
  </si>
  <si>
    <t>Access Management</t>
  </si>
  <si>
    <t>Privileged Access Management</t>
  </si>
  <si>
    <t>Active Directory</t>
  </si>
  <si>
    <t>IAM Team</t>
  </si>
  <si>
    <t>Information Security</t>
  </si>
  <si>
    <t>Privilege Escalation</t>
  </si>
  <si>
    <t>Excessive User Permissions</t>
  </si>
  <si>
    <t>Unauthorized Privileged Access</t>
  </si>
  <si>
    <t>Unauthorized users gain elevated privileges</t>
  </si>
  <si>
    <t>RBAC, MFA, Access Reviews</t>
  </si>
  <si>
    <t>Quarterly privileged access review</t>
  </si>
  <si>
    <t>IAM Manager</t>
  </si>
  <si>
    <t>R-004</t>
  </si>
  <si>
    <t xml:space="preserve">Compliance Management </t>
  </si>
  <si>
    <t>Regulatory Monitoring</t>
  </si>
  <si>
    <t>Compliance Platform</t>
  </si>
  <si>
    <t>Compliance Team</t>
  </si>
  <si>
    <t>Compliance</t>
  </si>
  <si>
    <t>Missing Regulatory Requirements</t>
  </si>
  <si>
    <t>Lack of Continuous Monitoring</t>
  </si>
  <si>
    <t>Regulatory Non-Compliance</t>
  </si>
  <si>
    <t>Failure to comply with CBE or PCI DSS requirements</t>
  </si>
  <si>
    <t>Internal Audit, Compliance Reviews</t>
  </si>
  <si>
    <t>Continuous compliance monitoring</t>
  </si>
  <si>
    <t>Compliance Manager</t>
  </si>
  <si>
    <t>R-005</t>
  </si>
  <si>
    <t>Data Protection</t>
  </si>
  <si>
    <t>Data Handling</t>
  </si>
  <si>
    <t>Customer Database</t>
  </si>
  <si>
    <t>Data Governance Team</t>
  </si>
  <si>
    <t>Data Exposure</t>
  </si>
  <si>
    <t>Misconfigured Permissions</t>
  </si>
  <si>
    <t>Customer Data Leakage</t>
  </si>
  <si>
    <t>Sensitive customer data may be exposed</t>
  </si>
  <si>
    <t>DLP, Encryption</t>
  </si>
  <si>
    <t>Access reviews and DLP tuning</t>
  </si>
  <si>
    <t>Data Protection Officer</t>
  </si>
  <si>
    <t>R-006</t>
  </si>
  <si>
    <t>Third Party Risk Management</t>
  </si>
  <si>
    <t>Vendor Assessment</t>
  </si>
  <si>
    <t>Vendor Portal</t>
  </si>
  <si>
    <t>TPRM Team</t>
  </si>
  <si>
    <t>Third Party Risk</t>
  </si>
  <si>
    <t>Supply Chain Attack</t>
  </si>
  <si>
    <t>Weak Vendor Security</t>
  </si>
  <si>
    <t>Third Party Security Breach</t>
  </si>
  <si>
    <t>Vendor compromise affecting bank data</t>
  </si>
  <si>
    <t>Vendor Security Assessment</t>
  </si>
  <si>
    <t>Annual vendor reassessment</t>
  </si>
  <si>
    <t>Vendor Risk Manager</t>
  </si>
  <si>
    <t>R-007</t>
  </si>
  <si>
    <t>Business Continuity</t>
  </si>
  <si>
    <t>Backup Management</t>
  </si>
  <si>
    <t>Backup Server</t>
  </si>
  <si>
    <t>IT Operations</t>
  </si>
  <si>
    <t>Backup Failure</t>
  </si>
  <si>
    <t>Lack of Backup Validation</t>
  </si>
  <si>
    <t>Backup and Recovery Failure</t>
  </si>
  <si>
    <t>Inability to restore critical systems after an incident</t>
  </si>
  <si>
    <t>Daily Backup Jobs</t>
  </si>
  <si>
    <t>Quarterly restoration testing</t>
  </si>
  <si>
    <t>IT Operations Manager</t>
  </si>
  <si>
    <t>R-008</t>
  </si>
  <si>
    <t>Human Resources Security</t>
  </si>
  <si>
    <t>Employee Monitoring</t>
  </si>
  <si>
    <t>Internal Systems</t>
  </si>
  <si>
    <t>HR &amp; Security</t>
  </si>
  <si>
    <t>Malicious Insider</t>
  </si>
  <si>
    <t>Excessive Privileges</t>
  </si>
  <si>
    <t>Insider Threat Activity</t>
  </si>
  <si>
    <t>Employees misuse authorized access</t>
  </si>
  <si>
    <t>User Activity Monitoring</t>
  </si>
  <si>
    <t>User behavior analytics deployment</t>
  </si>
  <si>
    <t>Information Security Manager</t>
  </si>
  <si>
    <t>R-009</t>
  </si>
  <si>
    <t>Vulnerability Management</t>
  </si>
  <si>
    <t>Patch Management</t>
  </si>
  <si>
    <t>Production Servers</t>
  </si>
  <si>
    <t>IT Security Team</t>
  </si>
  <si>
    <t>Exploitation of Vulnerabilities</t>
  </si>
  <si>
    <t>Missing Security Updates</t>
  </si>
  <si>
    <t>Unpatched Critical Vulnerability</t>
  </si>
  <si>
    <t>Attackers exploit known vulnerabilities</t>
  </si>
  <si>
    <t>Monthly Patch Cycle</t>
  </si>
  <si>
    <t>Weekly vulnerability scans</t>
  </si>
  <si>
    <t>Vulnerability Management Lead</t>
  </si>
  <si>
    <t>R-010</t>
  </si>
  <si>
    <t>Incident Management</t>
  </si>
  <si>
    <t>Security Incident Handling</t>
  </si>
  <si>
    <t>SIEM Platform</t>
  </si>
  <si>
    <t>Delayed Incident Response</t>
  </si>
  <si>
    <t>Lack of IR Procedures</t>
  </si>
  <si>
    <t>Incident Response Failure</t>
  </si>
  <si>
    <t>Security incidents are not contained in a timely manner</t>
  </si>
  <si>
    <t>Incident Response Plan</t>
  </si>
  <si>
    <t>Conduct tabletop exercises every quarter</t>
  </si>
  <si>
    <t>R-011</t>
  </si>
  <si>
    <t>Authentication Management</t>
  </si>
  <si>
    <t>Identity Management System</t>
  </si>
  <si>
    <t>Credential Compromise</t>
  </si>
  <si>
    <t>MFA Not Enforced</t>
  </si>
  <si>
    <t>Absence of Multi-Factor Authentication</t>
  </si>
  <si>
    <t>Attackers may gain unauthorized access using stolen credentials.</t>
  </si>
  <si>
    <t>Password Policy</t>
  </si>
  <si>
    <t>Enforce MFA for all users.</t>
  </si>
  <si>
    <t>R-012</t>
  </si>
  <si>
    <t>Security Monitoring</t>
  </si>
  <si>
    <t>Log Monitoring</t>
  </si>
  <si>
    <t>Undetected Attack</t>
  </si>
  <si>
    <t>Incomplete Log Collection</t>
  </si>
  <si>
    <t>Failure to Detect Security Incidents</t>
  </si>
  <si>
    <t>Security events may remain unnoticed due to insufficient monitoring.</t>
  </si>
  <si>
    <t>SIEM Monitoring</t>
  </si>
  <si>
    <t>Enable centralized logging and alert tuning.</t>
  </si>
  <si>
    <t>R-013</t>
  </si>
  <si>
    <t>Data Governance</t>
  </si>
  <si>
    <t>Data Retention</t>
  </si>
  <si>
    <t>Customer Information Database</t>
  </si>
  <si>
    <t>Regulatory Violation</t>
  </si>
  <si>
    <t>Missing Retention Policy</t>
  </si>
  <si>
    <t>Improper Data Retention Management</t>
  </si>
  <si>
    <t>Failure to retain or dispose of data according to regulations.</t>
  </si>
  <si>
    <t>Data Classification Policy</t>
  </si>
  <si>
    <t>Implement retention and disposal procedures.</t>
  </si>
  <si>
    <t>R-014</t>
  </si>
  <si>
    <t>Business Continuity Management</t>
  </si>
  <si>
    <t>Disaster Recovery</t>
  </si>
  <si>
    <t>Core Banking Infrastructure</t>
  </si>
  <si>
    <t>Disaster Event</t>
  </si>
  <si>
    <t>Untested Recovery Plan</t>
  </si>
  <si>
    <t>Business Continuity Failure</t>
  </si>
  <si>
    <t>Critical services may not recover after a major disruption.</t>
  </si>
  <si>
    <t>DR Site</t>
  </si>
  <si>
    <t>Perform annual DR testing.</t>
  </si>
  <si>
    <t>Business Continuity Manager</t>
  </si>
  <si>
    <t>R-015</t>
  </si>
  <si>
    <t>Change Management</t>
  </si>
  <si>
    <t>Change Approval</t>
  </si>
  <si>
    <t>Production Systems</t>
  </si>
  <si>
    <t>Unauthorized Changes</t>
  </si>
  <si>
    <t>Weak Change Control Process</t>
  </si>
  <si>
    <t>Unauthorized System Changes</t>
  </si>
  <si>
    <t>Unapproved changes may disrupt business services.</t>
  </si>
  <si>
    <t>CAB Review Process</t>
  </si>
  <si>
    <t>Enforce change approval workflow.</t>
  </si>
  <si>
    <t>Change Manager</t>
  </si>
  <si>
    <t>R-016</t>
  </si>
  <si>
    <t>Database Security Management</t>
  </si>
  <si>
    <t>Database Configuration</t>
  </si>
  <si>
    <t>Database Administration Team</t>
  </si>
  <si>
    <t>Misconfigured Database Settings</t>
  </si>
  <si>
    <t>Database Security Misconfiguration</t>
  </si>
  <si>
    <t>Sensitive data may become accessible due to incorrect settings.</t>
  </si>
  <si>
    <t>Secure Configuration Standards</t>
  </si>
  <si>
    <t>Quarterly database configuration review.</t>
  </si>
  <si>
    <t>Database Manager</t>
  </si>
  <si>
    <t>R-017</t>
  </si>
  <si>
    <t>Admin Account Management</t>
  </si>
  <si>
    <t>Insider Abuse</t>
  </si>
  <si>
    <t>Lack of PAM Controls</t>
  </si>
  <si>
    <t>Misuse of Privileged Accounts</t>
  </si>
  <si>
    <t>Administrative accounts may be abused intentionally or accidentally.</t>
  </si>
  <si>
    <t>Access Review</t>
  </si>
  <si>
    <t>Implement PAM solution.</t>
  </si>
  <si>
    <t>R-018</t>
  </si>
  <si>
    <t>Remediation Tracking</t>
  </si>
  <si>
    <t>Enterprise Servers</t>
  </si>
  <si>
    <t>Vulnerability Management Team</t>
  </si>
  <si>
    <t>Vulnerability Exploitation</t>
  </si>
  <si>
    <t>Delayed Patch Deployment</t>
  </si>
  <si>
    <t>Delayed Vulnerability Remediation</t>
  </si>
  <si>
    <t>Known vulnerabilities remain exposed for extended periods.</t>
  </si>
  <si>
    <t>Weekly remediation tracking.</t>
  </si>
  <si>
    <t>R-019</t>
  </si>
  <si>
    <t>Security Awareness Program</t>
  </si>
  <si>
    <t>Employee Training</t>
  </si>
  <si>
    <t>Workforce</t>
  </si>
  <si>
    <t>HR &amp; Security Team</t>
  </si>
  <si>
    <t>Human Risk</t>
  </si>
  <si>
    <t>Social Engineering</t>
  </si>
  <si>
    <t>Lack of Security Training</t>
  </si>
  <si>
    <t>Insufficient Security Awareness</t>
  </si>
  <si>
    <t>Employees may fall victim to social engineering attacks.</t>
  </si>
  <si>
    <t>Annual Training</t>
  </si>
  <si>
    <t>Conduct quarterly awareness campaigns.</t>
  </si>
  <si>
    <t>Security Awareness Lead</t>
  </si>
  <si>
    <t>R-020</t>
  </si>
  <si>
    <t>Vendor Data Management</t>
  </si>
  <si>
    <t>Vendor Integrated Systems</t>
  </si>
  <si>
    <t>Vendor Breach</t>
  </si>
  <si>
    <t>Weak Vendor Security Controls</t>
  </si>
  <si>
    <t>Third Party Data Exposure</t>
  </si>
  <si>
    <t>Customer data may be exposed through a compromised vendor.</t>
  </si>
  <si>
    <t>Vendor Risk Assessment</t>
  </si>
  <si>
    <t>Annual vendor security audit and continuous monitoring.</t>
  </si>
  <si>
    <t>Third Party Risk Manager</t>
  </si>
  <si>
    <t>R-021</t>
  </si>
  <si>
    <t>Cloud Security Management</t>
  </si>
  <si>
    <t>Cloud Resource Provisioning</t>
  </si>
  <si>
    <t>AWS / Azure Environment</t>
  </si>
  <si>
    <t>Cloud Infrastructure Team</t>
  </si>
  <si>
    <t>Cloud Security</t>
  </si>
  <si>
    <t>Data Breach</t>
  </si>
  <si>
    <t>Public Storage Bucket Configuration</t>
  </si>
  <si>
    <t>Cloud Security Misconfiguration</t>
  </si>
  <si>
    <t>Sensitive customer and banking data may be exposed due to improperly configured cloud resources such as public storage buckets or databases.</t>
  </si>
  <si>
    <t>Cloud Security Policy, Access Control Standards</t>
  </si>
  <si>
    <t>Deploy CSPM, perform cloud configuration reviews, enforce least privilege.</t>
  </si>
  <si>
    <t>Cloud Architect</t>
  </si>
  <si>
    <t>R-022</t>
  </si>
  <si>
    <t>AI Governance</t>
  </si>
  <si>
    <t>AI Usage Monitoring</t>
  </si>
  <si>
    <t>AI Services and Customer Data</t>
  </si>
  <si>
    <t>Information Security Team</t>
  </si>
  <si>
    <t>Emerging Technology / AI</t>
  </si>
  <si>
    <t>Data Leakage</t>
  </si>
  <si>
    <t>Employees Using Public AI Models</t>
  </si>
  <si>
    <t>AI Model Data Exposure</t>
  </si>
  <si>
    <t>Employees may unintentionally expose sensitive customer information while using public AI tools.</t>
  </si>
  <si>
    <t>Acceptable Use Policy</t>
  </si>
  <si>
    <t>Implement AI governance policy, DLP controls and employee awareness.</t>
  </si>
  <si>
    <t>CISO</t>
  </si>
  <si>
    <t>R-023</t>
  </si>
  <si>
    <t>Physical Security Management</t>
  </si>
  <si>
    <t>Data Center Access Control</t>
  </si>
  <si>
    <t>Data Center Infrastructure</t>
  </si>
  <si>
    <t>Facilities Security Team</t>
  </si>
  <si>
    <t>Physical Security</t>
  </si>
  <si>
    <t>Unauthorized Physical Access</t>
  </si>
  <si>
    <t>Weak Access Control Mechanisms</t>
  </si>
  <si>
    <t>Physical Security Breach – Data Center</t>
  </si>
  <si>
    <t>Unauthorized individuals may gain physical access to critical banking infrastructure, resulting in theft, sabotage or service disruption.</t>
  </si>
  <si>
    <t>CCTV, Access Cards, Security Guards</t>
  </si>
  <si>
    <t>Implement biometric access, visitor management and periodic physical audits.</t>
  </si>
  <si>
    <t>Facilities Security Manager</t>
  </si>
  <si>
    <t>R-024</t>
  </si>
  <si>
    <t>ATM Security Management</t>
  </si>
  <si>
    <t>ATM Fraud Prevention</t>
  </si>
  <si>
    <t>ATM Network</t>
  </si>
  <si>
    <t>Cards &amp; Payments Team</t>
  </si>
  <si>
    <t>Physical Security / Fraud</t>
  </si>
  <si>
    <t>Card Data Theft</t>
  </si>
  <si>
    <t>Lack of Anti-Skimming Controls</t>
  </si>
  <si>
    <t>ATM Skimming Attack</t>
  </si>
  <si>
    <t>Criminals may install skimming devices on ATMs to capture card information and PINs.</t>
  </si>
  <si>
    <t>ATM Monitoring and Inspections</t>
  </si>
  <si>
    <t>Install anti-skimming devices and increase ATM inspections.</t>
  </si>
  <si>
    <t>Cards &amp; Payments Manager</t>
  </si>
  <si>
    <t>R-025</t>
  </si>
  <si>
    <t>Application Security Management</t>
  </si>
  <si>
    <t>API Security Monitoring</t>
  </si>
  <si>
    <t>Open Banking APIs</t>
  </si>
  <si>
    <t>Application Security Team</t>
  </si>
  <si>
    <t>Application Security</t>
  </si>
  <si>
    <t>API Abuse / Injection</t>
  </si>
  <si>
    <t>No API Gateway and Rate Limiting</t>
  </si>
  <si>
    <t>API Security Breach</t>
  </si>
  <si>
    <t>Attackers may exploit insecure APIs to gain unauthorized access to customer data and banking services.</t>
  </si>
  <si>
    <t>API Authentication and Secure Coding Practices</t>
  </si>
  <si>
    <t>Deploy API Gateway, WAF, API monitoring and rate limiting controls.</t>
  </si>
  <si>
    <t>API Security Lead</t>
  </si>
  <si>
    <t>R-026</t>
  </si>
  <si>
    <t>Secure Software Development Lifecycle</t>
  </si>
  <si>
    <t>Third-Party Dependency Management</t>
  </si>
  <si>
    <t>Banking Applications</t>
  </si>
  <si>
    <t>DevSecOps Team</t>
  </si>
  <si>
    <t>Third Party Risk / Cybersecurity</t>
  </si>
  <si>
    <t>Malicious Code Injection</t>
  </si>
  <si>
    <t>No Software Composition Analysis (SCA)</t>
  </si>
  <si>
    <t>Software Supply Chain Attack</t>
  </si>
  <si>
    <t>Malicious code may be introduced into banking applications through compromised open-source libraries or third-party software components.</t>
  </si>
  <si>
    <t>Manual Code Reviews</t>
  </si>
  <si>
    <t>Deploy SCA tools, vendor security validation, dependency scanning.</t>
  </si>
  <si>
    <t>DevSecOps Lead</t>
  </si>
  <si>
    <t>R-027</t>
  </si>
  <si>
    <t>Mobile Application Security</t>
  </si>
  <si>
    <t>Secure Mobile Development</t>
  </si>
  <si>
    <t>Mobile Banking Application</t>
  </si>
  <si>
    <t>Mobile Security Team</t>
  </si>
  <si>
    <t>Reverse Engineering</t>
  </si>
  <si>
    <t>Lack of Code Obfuscation</t>
  </si>
  <si>
    <t>Mobile Banking Application Vulnerability</t>
  </si>
  <si>
    <t>Attackers may reverse engineer the banking application to extract secrets, API keys, or bypass security controls.</t>
  </si>
  <si>
    <t>Secure Coding Guidelines</t>
  </si>
  <si>
    <t>Implement code obfuscation, root detection, anti-tampering controls.</t>
  </si>
  <si>
    <t>Mobile Security Lead</t>
  </si>
  <si>
    <t>R-028</t>
  </si>
  <si>
    <t>Security Awareness Management</t>
  </si>
  <si>
    <t>Social Engineering Defense</t>
  </si>
  <si>
    <t>Employees and Internal Systems</t>
  </si>
  <si>
    <t>Security Awareness Team</t>
  </si>
  <si>
    <t>Voice-Based Social Engineering</t>
  </si>
  <si>
    <t>No Verification Procedure for Phone Requests</t>
  </si>
  <si>
    <t>Vishing Attack</t>
  </si>
  <si>
    <t>Attackers may impersonate IT support, management, or trusted parties to obtain credentials or sensitive information.</t>
  </si>
  <si>
    <t>Security Awareness Training</t>
  </si>
  <si>
    <t>Implement call verification procedures and regular vishing simulations.</t>
  </si>
  <si>
    <t>R-029</t>
  </si>
  <si>
    <t>Data Residency Compliance</t>
  </si>
  <si>
    <t>Customer Data Repository</t>
  </si>
  <si>
    <t>Compliance / Legal</t>
  </si>
  <si>
    <t>Cross-Border Data Transfer</t>
  </si>
  <si>
    <t>Incorrect Cloud Region Selection</t>
  </si>
  <si>
    <t>Data Residency Violation</t>
  </si>
  <si>
    <t>Banking or customer data may be stored outside Egypt in violation of applicable laws and regulations.</t>
  </si>
  <si>
    <t>Data Classification and Hosting Policies</t>
  </si>
  <si>
    <t>Continuous data residency monitoring and cloud region validation.</t>
  </si>
  <si>
    <t>R-030</t>
  </si>
  <si>
    <t>Identity and Access Management</t>
  </si>
  <si>
    <t>Authentication Security</t>
  </si>
  <si>
    <t>Internet Banking Platform</t>
  </si>
  <si>
    <t>Credential Stuffing</t>
  </si>
  <si>
    <t>Password Reuse and Weak Authentication Controls</t>
  </si>
  <si>
    <t>Credential Stuffing Attack</t>
  </si>
  <si>
    <t>Attackers may use leaked credentials from other services to gain unauthorized access to customer accounts.</t>
  </si>
  <si>
    <t>Enforce MFA, password blacklist, account lockout, and rate limiting.</t>
  </si>
  <si>
    <t>R-031</t>
  </si>
  <si>
    <t>Regulatory Breach Notification</t>
  </si>
  <si>
    <t>Personal Data Processing Systems</t>
  </si>
  <si>
    <t>Compliance &amp; Privacy Team</t>
  </si>
  <si>
    <t>Regulatory Sanctions</t>
  </si>
  <si>
    <t>No Automated Breach Reporting Process</t>
  </si>
  <si>
    <t>Failure to Report PDPL Breach within 72 Hours</t>
  </si>
  <si>
    <t>Failure to notify the Personal Data Protection Center within the required timeframe may result in penalties and legal action.</t>
  </si>
  <si>
    <t>Implement automated breach notification workflow and escalation procedures.</t>
  </si>
  <si>
    <t>DPO</t>
  </si>
  <si>
    <t>R-032</t>
  </si>
  <si>
    <t>Customer Data Platforms</t>
  </si>
  <si>
    <t>Regulatory Penalties</t>
  </si>
  <si>
    <t>Uncontrolled International Data Transfer</t>
  </si>
  <si>
    <t>Cross-Border Data Transfer Without PDPC License</t>
  </si>
  <si>
    <t>Personal data may be transferred outside Egypt without required regulatory approval.</t>
  </si>
  <si>
    <t>Cloud Provider Review Process</t>
  </si>
  <si>
    <t>Implement data residency monitoring and transfer approval workflows.</t>
  </si>
  <si>
    <t>DPO / CISO</t>
  </si>
  <si>
    <t>R-033</t>
  </si>
  <si>
    <t>Regulatory Compliance</t>
  </si>
  <si>
    <t>Enterprise Security Program</t>
  </si>
  <si>
    <t>Compliance / Cybersecurity</t>
  </si>
  <si>
    <t>Incomplete Security Controls</t>
  </si>
  <si>
    <t>Failure to Meet NIS2 Equivalent Security Baseline</t>
  </si>
  <si>
    <t>Security controls may not meet international cybersecurity requirements, resulting in compliance gaps.</t>
  </si>
  <si>
    <t>ISO 27001 Controls</t>
  </si>
  <si>
    <t>Conduct NIS2 gap assessment and formal compliance program.</t>
  </si>
  <si>
    <t>R-034</t>
  </si>
  <si>
    <t>Cloud Provider Management</t>
  </si>
  <si>
    <t>Cloud Infrastructure</t>
  </si>
  <si>
    <t>Operational / Third Party</t>
  </si>
  <si>
    <t>Service Disruption</t>
  </si>
  <si>
    <t>Single Cloud Provider Dependency</t>
  </si>
  <si>
    <t>ICT Supply Chain Dependency</t>
  </si>
  <si>
    <t>Excessive reliance on a single cloud provider may cause significant operational disruption if the provider becomes unavailable.</t>
  </si>
  <si>
    <t>Vendor SLA</t>
  </si>
  <si>
    <t>Develop multi-cloud strategy and alternative vendor plans.</t>
  </si>
  <si>
    <t>CTO</t>
  </si>
  <si>
    <t>R-035</t>
  </si>
  <si>
    <t>Resilience Testing</t>
  </si>
  <si>
    <t>Critical Banking Services</t>
  </si>
  <si>
    <t>Business Continuity Team</t>
  </si>
  <si>
    <t>Operational / BCP</t>
  </si>
  <si>
    <t>Service Outage</t>
  </si>
  <si>
    <t>Inadequate Testing Program</t>
  </si>
  <si>
    <t>Failure to Conduct Digital Operational Resilience Testing</t>
  </si>
  <si>
    <t>Critical systems may fail during major incidents due to insufficient resilience testing.</t>
  </si>
  <si>
    <t>Annual BCP Testing</t>
  </si>
  <si>
    <t>Implement quarterly resilience exercises and threat-led testing.</t>
  </si>
  <si>
    <t>BCP Manager</t>
  </si>
  <si>
    <t>R-036</t>
  </si>
  <si>
    <t>Employees and Communication Channels</t>
  </si>
  <si>
    <t>SOC Team / Security Awareness Team</t>
  </si>
  <si>
    <t>Human Risk / Emerging Technology</t>
  </si>
  <si>
    <t>AI-Generated Voice or Video Impersonation</t>
  </si>
  <si>
    <t>No Verification Procedure for High-Risk Requests</t>
  </si>
  <si>
    <t>Deepfake-Based Social Engineering Attack</t>
  </si>
  <si>
    <t>Attackers may use AI-generated voice or video impersonation of executives to trick employees into transferring funds or disclosing sensitive information.</t>
  </si>
  <si>
    <t>Implement callback verification procedures and deepfake awareness training.</t>
  </si>
  <si>
    <t>R-037</t>
  </si>
  <si>
    <t>Mobile Security Management</t>
  </si>
  <si>
    <t>Mobile Threat Protection</t>
  </si>
  <si>
    <t>Application Security / Mobile</t>
  </si>
  <si>
    <t>Banking Malware</t>
  </si>
  <si>
    <t>Lack of Runtime Application Protection</t>
  </si>
  <si>
    <t>Mobile Banking Trojan Infection</t>
  </si>
  <si>
    <t>Malware installed on customer devices may intercept banking credentials and OTP codes.</t>
  </si>
  <si>
    <t>Certificate Pinning</t>
  </si>
  <si>
    <t>Implement RASP, anti-tampering, and root/jailbreak detection.</t>
  </si>
  <si>
    <t>R-038</t>
  </si>
  <si>
    <t>Privacy Governance</t>
  </si>
  <si>
    <t>Data Protection Compliance</t>
  </si>
  <si>
    <t>Privacy Management Program</t>
  </si>
  <si>
    <t>Compliance Department</t>
  </si>
  <si>
    <t>No Formal DPO Registration</t>
  </si>
  <si>
    <t>DPO Not Formally Appointed or Registered</t>
  </si>
  <si>
    <t>Failure to appoint and register a Data Protection Officer may result in non-compliance with privacy regulations.</t>
  </si>
  <si>
    <t>Informal Privacy Responsibilities</t>
  </si>
  <si>
    <t>Appoint and register DPO and establish governance procedures.</t>
  </si>
  <si>
    <t>R-039</t>
  </si>
  <si>
    <t>Data Inventory Management</t>
  </si>
  <si>
    <t>Personal Data Repositories</t>
  </si>
  <si>
    <t>Regulatory Inspection Failure</t>
  </si>
  <si>
    <t>No Centralized Data Processing Inventory</t>
  </si>
  <si>
    <t>Lack of Records of Processing Activities (ROPA)</t>
  </si>
  <si>
    <t>The organization may fail to demonstrate compliance due to missing records of personal data processing activities.</t>
  </si>
  <si>
    <t>Informal Data Documentation</t>
  </si>
  <si>
    <t>Implement automated data discovery and maintain ROPA records within GRC platform.</t>
  </si>
  <si>
    <t>Data Governance Lead</t>
  </si>
  <si>
    <t>R-040</t>
  </si>
  <si>
    <t>Customer Authentication</t>
  </si>
  <si>
    <t>Digital Banking Platform</t>
  </si>
  <si>
    <t>IAM Team / Fraud Team</t>
  </si>
  <si>
    <t>Cybersecurity / Fraud</t>
  </si>
  <si>
    <t>SIM Swap Fraud</t>
  </si>
  <si>
    <t>Reliance on SMS OTP as Sole Authentication Factor</t>
  </si>
  <si>
    <t>Account Takeover via SIM Swap Attack</t>
  </si>
  <si>
    <t>Attackers may gain control of customer accounts by hijacking phone numbers used for SMS-based authentication.</t>
  </si>
  <si>
    <t>SMS OTP Authentication</t>
  </si>
  <si>
    <t>Implement authenticator-based MFA, biometric authentication and SIM swap detection controls.</t>
  </si>
  <si>
    <t>Fraud Manager</t>
  </si>
  <si>
    <t>R-041</t>
  </si>
  <si>
    <t>Privacy Risk Management</t>
  </si>
  <si>
    <t>DPIA Management</t>
  </si>
  <si>
    <t>Personal Data Processing Activities</t>
  </si>
  <si>
    <t>Privacy &amp; Compliance Team</t>
  </si>
  <si>
    <t>No Formal DPIA Process</t>
  </si>
  <si>
    <t>Failure to Submit DPIA for High-Risk Processing</t>
  </si>
  <si>
    <t>High-risk personal data processing activities may be implemented without conducting a Data Protection Impact Assessment, resulting in regulatory violations.</t>
  </si>
  <si>
    <t>Informal Review Process</t>
  </si>
  <si>
    <t>Formalize DPIA process and integrate with project lifecycle.</t>
  </si>
  <si>
    <t>R-042</t>
  </si>
  <si>
    <t>Network Security Management</t>
  </si>
  <si>
    <t>Network Segmentation</t>
  </si>
  <si>
    <t>Internal Banking Network</t>
  </si>
  <si>
    <t>Network Security Team</t>
  </si>
  <si>
    <t>Lateral Movement</t>
  </si>
  <si>
    <t>Flat Network Architecture</t>
  </si>
  <si>
    <t>Insufficient Network Segmentation</t>
  </si>
  <si>
    <t>Attackers may move laterally across the network after an initial compromise due to insufficient segmentation between critical systems.</t>
  </si>
  <si>
    <t>Firewall Rules</t>
  </si>
  <si>
    <t>Implement micro-segmentation and zero-trust network architecture.</t>
  </si>
  <si>
    <t>Network Security Manager</t>
  </si>
  <si>
    <t>R-043</t>
  </si>
  <si>
    <t>Regulatory Incident Reporting</t>
  </si>
  <si>
    <t>SIEM / Incident Management Platform</t>
  </si>
  <si>
    <t>SOC Team / Compliance Team</t>
  </si>
  <si>
    <t>Regulatory Breach</t>
  </si>
  <si>
    <t>Manual Incident Escalation Process</t>
  </si>
  <si>
    <t>ICT Incident Reporting Delay</t>
  </si>
  <si>
    <t>Critical cybersecurity incidents may not be reported within regulatory timelines due to inefficient reporting processes.</t>
  </si>
  <si>
    <t>Incident Response Procedure</t>
  </si>
  <si>
    <t>Automate incident notification and reporting workflows.</t>
  </si>
  <si>
    <t>R-044</t>
  </si>
  <si>
    <t>External Suppliers and Service Providers</t>
  </si>
  <si>
    <t>Vendor Risk Management Team</t>
  </si>
  <si>
    <t>Supply Chain Compromise</t>
  </si>
  <si>
    <t>No Formal Vendor Security Assessment Program</t>
  </si>
  <si>
    <t>Supply Chain Security Assessment Failure</t>
  </si>
  <si>
    <t>Critical vendors may introduce cybersecurity risks due to insufficient security assessments and monitoring.</t>
  </si>
  <si>
    <t>Basic Vendor Contracts</t>
  </si>
  <si>
    <t>Establish vendor security assessment framework and periodic audits.</t>
  </si>
  <si>
    <t>R-045</t>
  </si>
  <si>
    <t>Internal Banking Systems</t>
  </si>
  <si>
    <t>Security Operations Center</t>
  </si>
  <si>
    <t>Human Risk / Security Monitoring</t>
  </si>
  <si>
    <t>Insider Threat</t>
  </si>
  <si>
    <t>Lack of User Behavior Analytics (UEBA)</t>
  </si>
  <si>
    <t>Insider Threat Detection Failure</t>
  </si>
  <si>
    <t>Malicious or negligent employees may access or exfiltrate sensitive information without detection.</t>
  </si>
  <si>
    <t>Access Reviews and Logging</t>
  </si>
  <si>
    <t>Deploy UEBA and DLP solutions with continuous monitoring.</t>
  </si>
  <si>
    <t>R-046</t>
  </si>
  <si>
    <t>Compliance Management</t>
  </si>
  <si>
    <t>Control Mapping</t>
  </si>
  <si>
    <t>Wadjet GRC Platform</t>
  </si>
  <si>
    <t>Incorrect Compliance Assessment</t>
  </si>
  <si>
    <t>Incorrect Framework Mapping</t>
  </si>
  <si>
    <t>Compliance Mapping Failure</t>
  </si>
  <si>
    <t>Incorrect mapping between regulations and controls may lead to inaccurate compliance reports and audit findings.</t>
  </si>
  <si>
    <t>Peer Review Process</t>
  </si>
  <si>
    <t>Automated mapping validation and periodic compliance reviews.</t>
  </si>
  <si>
    <t>R-047</t>
  </si>
  <si>
    <t>Compliance Automation</t>
  </si>
  <si>
    <t>Evidence Collection</t>
  </si>
  <si>
    <t>n8n Workflows / Integrations</t>
  </si>
  <si>
    <t>Automation Team</t>
  </si>
  <si>
    <t>Missing Audit Evidence</t>
  </si>
  <si>
    <t>Workflow Failure or Integration Failure</t>
  </si>
  <si>
    <t>Automated Evidence Collection Failure</t>
  </si>
  <si>
    <t>Automated evidence collection processes may fail, resulting in incomplete audit evidence and compliance gaps.</t>
  </si>
  <si>
    <t>Workflow Monitoring Dashboard</t>
  </si>
  <si>
    <t>Implement workflow health monitoring, alerting, and failover mechanisms.</t>
  </si>
  <si>
    <t>Automation Lead</t>
  </si>
  <si>
    <t>R-048</t>
  </si>
  <si>
    <t>Risk Management</t>
  </si>
  <si>
    <t>Risk Scoring &amp; Reporting</t>
  </si>
  <si>
    <t>Risk Dashboard</t>
  </si>
  <si>
    <t>Enterprise Risk Team</t>
  </si>
  <si>
    <t>Incorrect Executive Decision Making</t>
  </si>
  <si>
    <t>Incorrect Risk Scoring Logic</t>
  </si>
  <si>
    <t>Risk Heatmap Inaccuracy</t>
  </si>
  <si>
    <t>Risk calculations may be inaccurate due to incorrect formulas or scoring logic, leading to poor management decisions.</t>
  </si>
  <si>
    <t>Manual Validation Reviews</t>
  </si>
  <si>
    <t>Implement automated validation checks and independent risk model reviews.</t>
  </si>
  <si>
    <t>Risk Manager</t>
  </si>
  <si>
    <t>WADJET GRC — MITIGATION PLAN   |   48 Risks   |   Total Budget: $4,275,000   |   Est. Loss Prevented: $109,000,000</t>
  </si>
  <si>
    <t>Category</t>
  </si>
  <si>
    <t>Inherent
Risk</t>
  </si>
  <si>
    <t>Residual Risk
(Exhausted)</t>
  </si>
  <si>
    <t>Residual Risk
(Recommended)</t>
  </si>
  <si>
    <t>Risk
Appetite</t>
  </si>
  <si>
    <t>Budget</t>
  </si>
  <si>
    <t>Target Date</t>
  </si>
  <si>
    <t>RAG</t>
  </si>
  <si>
    <t>Dependencies</t>
  </si>
  <si>
    <t>Issues / Blockers</t>
  </si>
  <si>
    <t>Risk Source</t>
  </si>
  <si>
    <t>Review
Freq</t>
  </si>
  <si>
    <t>Last Review</t>
  </si>
  <si>
    <t>📋 COMPLIANCE &amp; LEGAL RISKS</t>
  </si>
  <si>
    <t>Zero</t>
  </si>
  <si>
    <t>$95K</t>
  </si>
  <si>
    <t>• Deploy continuous compliance monitoring against CBE Framework
• Generate automated gap analysis reports monthly
• Conduct quarterly compliance review with CISO
• Provide compliance dashboard for executive management</t>
  </si>
  <si>
    <t>2026-10-31</t>
  </si>
  <si>
    <t>In Progress</t>
  </si>
  <si>
    <t>●</t>
  </si>
  <si>
    <t>GRC platform deployment</t>
  </si>
  <si>
    <t>Data migration from legacy systems</t>
  </si>
  <si>
    <t>Audit</t>
  </si>
  <si>
    <t>Quarterly</t>
  </si>
  <si>
    <t>2026-06-01</t>
  </si>
  <si>
    <t>$30K</t>
  </si>
  <si>
    <t>• Document retention period requirements for each data type
• Configure automated deletion after retention period expires
• Conduct annual retention policy review with legal
• Implement legal hold process for litigation cases</t>
  </si>
  <si>
    <t>Not Started</t>
  </si>
  <si>
    <t>Legal department review</t>
  </si>
  <si>
    <t>None</t>
  </si>
  <si>
    <t>$60K</t>
  </si>
  <si>
    <t>• Implement continuous cloud region monitoring for all data
• Configure automated blocking of cross-border data transfers
• Deploy real-time alerts for data residency violations
• Conduct quarterly cloud configuration audit</t>
  </si>
  <si>
    <t>2026-09-30</t>
  </si>
  <si>
    <t>CSPM tool deployment</t>
  </si>
  <si>
    <t>Cloud provider configuration</t>
  </si>
  <si>
    <t>Monthly</t>
  </si>
  <si>
    <t>72-Hour PDPL Breach Notification Failure</t>
  </si>
  <si>
    <t>$75K</t>
  </si>
  <si>
    <t>• Deploy automated breach detection system
• Configure notification workflow to PDPC
• Deploy 72-hour countdown timer dashboard
• Automate legal team notification upon breach detection</t>
  </si>
  <si>
    <t>Incident response automation</t>
  </si>
  <si>
    <t>Legal process definition</t>
  </si>
  <si>
    <t>Cross-Border Data Transfer Without License</t>
  </si>
  <si>
    <t>$25K</t>
  </si>
  <si>
    <t>• Implement data residency monitoring for all transfers
• Configure approval workflow for international data transfers
• Deploy automated blocking of unauthorized transfers
• Submit PDPC licence application within 30 days</t>
  </si>
  <si>
    <t>PDPC licence application</t>
  </si>
  <si>
    <t>Regulatory process is slow</t>
  </si>
  <si>
    <t>Failure to Meet NIS2 Security Baseline</t>
  </si>
  <si>
    <t>$120K</t>
  </si>
  <si>
    <t>• Conduct comprehensive NIS2 gap assessment
• Implement all missing controls identified
• Conduct annual compliance review against NIS2
• Provide management reporting on NIS2 readiness</t>
  </si>
  <si>
    <t>2026-12-31</t>
  </si>
  <si>
    <t>External consultant engagement</t>
  </si>
  <si>
    <t>Consultant procurement in progress</t>
  </si>
  <si>
    <t>Assessment</t>
  </si>
  <si>
    <t>$10K</t>
  </si>
  <si>
    <t>• Issue formal DPO appointment letter with signatures
• Register DPO with PDPC within 30 days
• Document DPO roles and responsibilities
• Publish DPO contact information internally</t>
  </si>
  <si>
    <t>HR approval for appointment</t>
  </si>
  <si>
    <t>Lack of Records of Processing Activities</t>
  </si>
  <si>
    <t>$50K</t>
  </si>
  <si>
    <t>• Deploy automated data discovery tool
• Create and maintain ROPA in GRC platform
• Update ROPA quarterly or after any material change
• Conduct data mapping for all processing activities</t>
  </si>
  <si>
    <t>Data discovery tool procurement</t>
  </si>
  <si>
    <t>$20K</t>
  </si>
  <si>
    <t>• Document formal DPIA process and procedure
• Conduct DPIA for all high-risk projects before launch
• Ensure DPO reviews and approves all DPIAs
• Maintain DPIA register with regular review schedule</t>
  </si>
  <si>
    <t>Project management integration</t>
  </si>
  <si>
    <t>$45K</t>
  </si>
  <si>
    <t>• Automate incident notification and reporting workflows
• Integrate SIEM with regulatory reporting system
• Deploy real-time escalation dashboard for SOC
• Conduct quarterly regulatory reporting drill</t>
  </si>
  <si>
    <t>2026-11-30</t>
  </si>
  <si>
    <t>SIEM integration project</t>
  </si>
  <si>
    <t>Integration complexity</t>
  </si>
  <si>
    <t>🛡️ CYBERSECURITY RISKS</t>
  </si>
  <si>
    <t>• Enforce MFA for all users (prioritise privileged accounts)
• Conduct quarterly phishing simulations
• Deploy advanced email gateway with malicious link detection
• Monthly security awareness training for all employees</t>
  </si>
  <si>
    <t>MFA licence procurement</t>
  </si>
  <si>
    <t>Budget approval pending</t>
  </si>
  <si>
    <t>Incident</t>
  </si>
  <si>
    <t>$250K</t>
  </si>
  <si>
    <t>• Deploy EDR on all endpoints with 24/7 monitoring
• Weekly vulnerability patching for critical systems
• Daily backups with monthly restoration testing
• Application whitelisting for critical systems</t>
  </si>
  <si>
    <t>EDR tool procurement</t>
  </si>
  <si>
    <t>Vendor selection ongoing</t>
  </si>
  <si>
    <t>$80K</t>
  </si>
  <si>
    <t>• Weekly vulnerability scanning using automated tools
• 48-hour SLA for patching critical vulnerabilities
• Automated patch deployment for non-critical systems
• Monthly patch governance review with IT leadership</t>
  </si>
  <si>
    <t>Vulnerability Lead</t>
  </si>
  <si>
    <t>Vulnerability scanner licence</t>
  </si>
  <si>
    <t>Budget approval required</t>
  </si>
  <si>
    <t>Scan</t>
  </si>
  <si>
    <t>Weekly</t>
  </si>
  <si>
    <t>$180K</t>
  </si>
  <si>
    <t>• Implement centralised logging for all systems
• Deploy 24/7 SOC coverage with shift rotation
• Conduct monthly SIEM alert tuning
• Deploy UEBA for insider threat detection</t>
  </si>
  <si>
    <t>SIEM platform upgrade</t>
  </si>
  <si>
    <t>Vendor contract renewal pending</t>
  </si>
  <si>
    <t>$40K</t>
  </si>
  <si>
    <t>• Deploy remediation SLA dashboard with real-time updates
• Configure automated alerts when SLA is breached
• Conduct weekly remediation review with IT leads
• Implement escalation process for overdue patches</t>
  </si>
  <si>
    <t>Dashboard development</t>
  </si>
  <si>
    <t>Resource constraints</t>
  </si>
  <si>
    <t>$35K</t>
  </si>
  <si>
    <t>• Implement rate limiting on all login APIs
• Deploy password blacklist to prevent weak passwords
• Enforce MFA for all customer accounts
• Configure account lockout after 5 failed attempts</t>
  </si>
  <si>
    <t>IAM platform upgrade</t>
  </si>
  <si>
    <t>No major blockers</t>
  </si>
  <si>
    <t>• Implement authenticator-based MFA (replace SMS OTP)
• Deploy biometric authentication for high-value transactions
• Implement SIM swap detection controls
• Configure alerts for suspicious account changes</t>
  </si>
  <si>
    <t>MFA platform upgrade</t>
  </si>
  <si>
    <t>Carrier coordination required</t>
  </si>
  <si>
    <t>$350K</t>
  </si>
  <si>
    <t>• Implement micro-segmentation for all critical systems
• Deploy zero-trust network architecture
• Conduct quarterly firewall rules review
• Perform annual network segmentation penetration testing</t>
  </si>
  <si>
    <t>Network hardware upgrade</t>
  </si>
  <si>
    <t>🔐 INFORMATION SECURITY RISKS</t>
  </si>
  <si>
    <t>Info Security</t>
  </si>
  <si>
    <t>$150K</t>
  </si>
  <si>
    <t>• Deploy PAM solution for all privileged accounts
• Conduct quarterly privileged access review
• Reduce privileged accounts by 80%
• Implement just-in-time privileged access</t>
  </si>
  <si>
    <t>PAM solution deployment</t>
  </si>
  <si>
    <t>Active Directory integration</t>
  </si>
  <si>
    <t>$200K</t>
  </si>
  <si>
    <t>• Deploy full DLP for data-at-rest and data-in-motion
• Encrypt all sensitive customer data at rest and in transit
• Conduct monthly access permission review
• Implement data classification for all databases</t>
  </si>
  <si>
    <t>DLP tool procurement</t>
  </si>
  <si>
    <t>• Deploy UEBA solution for user behaviour monitoring
• Log all user activities with tamper-proof audit trail
• Conduct quarterly employee access review
• Automate employee offboarding process</t>
  </si>
  <si>
    <t>InfoSec Manager</t>
  </si>
  <si>
    <t>UEBA tool procurement</t>
  </si>
  <si>
    <t>Vendor selection in progress</t>
  </si>
  <si>
    <t>• Enforce MFA for all users (100% coverage)
• Prioritise privileged accounts and remote access
• Use authenticator app (TOTP) — avoid SMS OTP
• Eliminate password-only authentication within 6 months</t>
  </si>
  <si>
    <t>User communication pending</t>
  </si>
  <si>
    <t>• Conduct quarterly database configuration review
• Deploy automated configuration scanning tool
• Remove all default accounts from databases
• Implement and enforce database hardening standards</t>
  </si>
  <si>
    <t>Scanning tool deployment</t>
  </si>
  <si>
    <t>• Deploy PAM solution for all privileged accounts
• Log all admin commands with detailed audit trail
• Enable session recording for critical system access
• Document and test break-glass procedure annually</t>
  </si>
  <si>
    <t>PAM tool deployment</t>
  </si>
  <si>
    <t>Same as R-003</t>
  </si>
  <si>
    <t>⚙️ OPERATIONAL &amp; BCP RISKS</t>
  </si>
  <si>
    <t>• Conduct quarterly backup restoration testing
• Implement 3-2-1 backup rule (3 copies, 2 media, 1 offsite)
• Configure daily backup success monitoring with alerts
• Conduct annual disaster recovery drill</t>
  </si>
  <si>
    <t>Backup infrastructure upgrade</t>
  </si>
  <si>
    <t>Test</t>
  </si>
  <si>
    <t>• Conduct quarterly tabletop exercises with SOC team
• Update Incident Response Plan annually
• Conduct post-incident review for all major incidents
• Maintain 24/7 SOC coverage with escalation procedures</t>
  </si>
  <si>
    <t>Exercise scenario development</t>
  </si>
  <si>
    <t>Exercise</t>
  </si>
  <si>
    <t>$300K</t>
  </si>
  <si>
    <t>• Conduct annual DR testing with full failover
• Perform Business Impact Analysis every 2 years
• Provide BCP training for all employees annually
• Maintain crisis communication plan with regular updates</t>
  </si>
  <si>
    <t>DR site construction</t>
  </si>
  <si>
    <t>Facility construction in progress</t>
  </si>
  <si>
    <t>• Enforce change approval workflow for all changes
• Require peer review for all changes
• Maintain change logging with audit trail
• Document emergency change procedure with post-review</t>
  </si>
  <si>
    <t>ITSM tool upgrade</t>
  </si>
  <si>
    <t>Digital Resilience Testing Failure</t>
  </si>
  <si>
    <t>• Conduct quarterly resilience exercises
• Perform threat-led penetration testing (TLPT) annually
• Implement post-exercise improvement plan tracking
• Deploy resilience metrics dashboard</t>
  </si>
  <si>
    <t>External testing provider</t>
  </si>
  <si>
    <t>Procurement in progress</t>
  </si>
  <si>
    <t>• Configure workflow health check every 5 minutes
• Implement retry logic with 3 attempts before failure
• Deploy real-time alert on workflow failure
• Document and test manual fallback procedure quarterly</t>
  </si>
  <si>
    <t>Monitoring dashboard deployment</t>
  </si>
  <si>
    <t>👥 HUMAN RISK</t>
  </si>
  <si>
    <t>• Deliver weekly security tips to all employees
• Conduct quarterly phishing simulations
• Reward employees who report phishing attempts
• Deliver mandatory annual security training for all</t>
  </si>
  <si>
    <t>Training platform</t>
  </si>
  <si>
    <t>$15K</t>
  </si>
  <si>
    <t>• Implement call verification procedures for all requests
• Train employees on phone scam detection
• Conduct quarterly vishing simulations
• Establish process to report suspicious calls</t>
  </si>
  <si>
    <t>Simulation platform</t>
  </si>
  <si>
    <t>$100K</t>
  </si>
  <si>
    <t>• Implement out-of-band verification for all financial requests
• Conduct deepfake awareness training for all employees
• Establish policy: no financial requests by voice only
• Deploy deepfake detection tools for critical communications</t>
  </si>
  <si>
    <t>Detection tool evaluation</t>
  </si>
  <si>
    <t>Emerging technology</t>
  </si>
  <si>
    <t>• Deploy UEBA solution for user behaviour monitoring
• Configure DLP to prevent data exfiltration
• Automate employee offboarding process
• Conduct quarterly insider threat awareness training</t>
  </si>
  <si>
    <t>UEBA tool deployment</t>
  </si>
  <si>
    <t>Same as R-008</t>
  </si>
  <si>
    <t>🤝 THIRD PARTY RISKS</t>
  </si>
  <si>
    <t>Third Party</t>
  </si>
  <si>
    <t>• Conduct pre-contract vendor security assessment for all vendors
• Include security requirements in all vendor contracts
• Conduct annual security review for critical vendors
• Implement vendor risk rating system</t>
  </si>
  <si>
    <t>Vendor assessment template</t>
  </si>
  <si>
    <t>Vendor</t>
  </si>
  <si>
    <t>• Require encryption of bank data at all vendors
• Include audit rights in all vendor contracts
• Conduct quarterly vendor compliance review
• Execute Data Processing Agreement with all vendors</t>
  </si>
  <si>
    <t>$70K</t>
  </si>
  <si>
    <t>• Deploy SCA tools in CI/CD pipeline
• Scan all open-source libraries before use
• Conduct quarterly dependency updates
• Require SBOM from all software vendors</t>
  </si>
  <si>
    <t>SCA tool procurement</t>
  </si>
  <si>
    <t>Tool evaluation in progress</t>
  </si>
  <si>
    <t>• Develop and execute multi-cloud strategy
• Create exit plan for each critical vendor
• Conduct annual vendor switch testing
• Implement vendor concentration monitoring dashboard</t>
  </si>
  <si>
    <t>Cloud architecture redesign</t>
  </si>
  <si>
    <t>Strategic decision pending</t>
  </si>
  <si>
    <t>• Establish formal vendor security assessment framework
• Classify vendors by criticality level
• Conduct quarterly audits for critical vendors
• Implement vendor security scorecard program</t>
  </si>
  <si>
    <t>Assessment framework development</t>
  </si>
  <si>
    <t>📱 APPLICATION &amp; MOBILE SECURITY</t>
  </si>
  <si>
    <t>App Security</t>
  </si>
  <si>
    <t>• Deploy API Gateway for all external APIs
• Implement rate limiting and throttling
• Deploy WAF for all public APIs
• Implement strong authentication and authorization</t>
  </si>
  <si>
    <t>API Gateway deployment</t>
  </si>
  <si>
    <t>Infrastructure setup in progress</t>
  </si>
  <si>
    <t>Mobile Banking App Vulnerability</t>
  </si>
  <si>
    <t>• Implement code obfuscation for mobile app
• Deploy root/jailbreak detection
• Implement anti-tampering controls
• Deploy RASP for mobile application</t>
  </si>
  <si>
    <t>Mobile app update</t>
  </si>
  <si>
    <t>• Deploy RASP for mobile app
• Implement certificate pinning for all connections
• Deploy malware detection on customer devices
• Configure alerts to customers about detected malware</t>
  </si>
  <si>
    <t>RASP integration</t>
  </si>
  <si>
    <t>☁️ CLOUD, PHYSICAL &amp; AI RISKS</t>
  </si>
  <si>
    <t>Cloud</t>
  </si>
  <si>
    <t>• Deploy CSPM tool for continuous cloud monitoring
• Implement Infrastructure as Code with security scanning
• Conduct monthly cloud configuration review
• Enforce least privilege for all cloud resources</t>
  </si>
  <si>
    <t>CSPM tool procurement</t>
  </si>
  <si>
    <t>Emerging Tech</t>
  </si>
  <si>
    <t>• Issue and enforce AI acceptable use policy
• Configure DLP for data sent to AI tools
• Conduct employee training on AI risks
• Deploy internal AI tools for sensitive data</t>
  </si>
  <si>
    <t>Policy approval</t>
  </si>
  <si>
    <t>Physical</t>
  </si>
  <si>
    <t>• Deploy biometric access control for data centre
• Implement visitor management system
• Maintain 24/7 CCTV monitoring with retention
• Conduct quarterly physical security audit</t>
  </si>
  <si>
    <t>Access system upgrade</t>
  </si>
  <si>
    <t>Vendor installation in progress</t>
  </si>
  <si>
    <t>• Install anti-skimming devices on all ATMs
• Conduct weekly ATM physical inspections
• Provide customer skimming awareness materials
• Deploy transaction monitoring for anomaly detection</t>
  </si>
  <si>
    <t>Device procurement</t>
  </si>
  <si>
    <t>📊 RISK MANAGEMENT &amp; GRC</t>
  </si>
  <si>
    <t>Risk Mgmt</t>
  </si>
  <si>
    <t>• Implement automated mapping validation in GRC platform
• Engage external GRC consultant for review
• Maintain version control for all frameworks
• Configure automated testing for mappings</t>
  </si>
  <si>
    <t>• Implement unit tests for all risk score formulas
• Deploy validation dashboard for engineers
• Conduct quarterly risk model review
• Maintain audit log for all risk calculation changes</t>
  </si>
  <si>
    <t>Testing framework</t>
  </si>
  <si>
    <t>WADJET GRC — BUDGET ASSUMPTIONS SHEET   |   Detailed Cost Justification per Risk</t>
  </si>
  <si>
    <t>All estimates are based on market benchmarks for Egyptian banking sector / mid-size financial institutions.  Costs in USD.  Blue figures are hardcoded assumptions.</t>
  </si>
  <si>
    <t>Budget Item / Description</t>
  </si>
  <si>
    <t>Estimated Cost ($)</t>
  </si>
  <si>
    <t>Justification / Source</t>
  </si>
  <si>
    <t>Sub-Total ($)</t>
  </si>
  <si>
    <t>Micro-segmentation software + implementation</t>
  </si>
  <si>
    <t>Market rate for Cisco/Palo Alto micro-segmentation for mid-size bank (30–50 servers)</t>
  </si>
  <si>
    <t>Zero-trust architecture deployment (Zscaler / Cloudflare ZTNA)</t>
  </si>
  <si>
    <t>ZTNA licensing for 500–1,000 users</t>
  </si>
  <si>
    <t>Firewall rules review + annual penetration testing</t>
  </si>
  <si>
    <t>Quarterly external consultant fees + annual pen test</t>
  </si>
  <si>
    <t xml:space="preserve">  TOTAL — Network Segmentation</t>
  </si>
  <si>
    <t>Data Leakage Prevention</t>
  </si>
  <si>
    <t>Full DLP deployment – Forcepoint / Symantec (1,000 endpoints + email DLP)</t>
  </si>
  <si>
    <t>Endpoint + email DLP licence bundle</t>
  </si>
  <si>
    <t>Encryption for all sensitive data at rest &amp; in transit (Vormetric / CipherTrust)</t>
  </si>
  <si>
    <t>Deployment &amp; licensing</t>
  </si>
  <si>
    <t>Data classification + access reviews (Varonis or manual effort)</t>
  </si>
  <si>
    <t>Tooling + internal effort estimate</t>
  </si>
  <si>
    <t xml:space="preserve">  TOTAL — Data Leakage Prevention</t>
  </si>
  <si>
    <t>R-003 / R-017</t>
  </si>
  <si>
    <t>PAM solution – CyberArk / Delinea (50–100 privileged accounts, licence + implementation)</t>
  </si>
  <si>
    <t>Industry benchmark for PAM deployment at similar institution size</t>
  </si>
  <si>
    <t xml:space="preserve">  TOTAL — Privileged Access Management</t>
  </si>
  <si>
    <t>API Security</t>
  </si>
  <si>
    <t>API Gateway – Kong / AWS API Gateway / MuleSoft (annual licence)</t>
  </si>
  <si>
    <t>Annual gateway licensing</t>
  </si>
  <si>
    <t>WAF for APIs – Cloudflare / Imperva</t>
  </si>
  <si>
    <t>Annual WAF subscription</t>
  </si>
  <si>
    <t>Rate limiting + authentication implementation (2–3 months developer effort)</t>
  </si>
  <si>
    <t>Internal developer cost estimate</t>
  </si>
  <si>
    <t xml:space="preserve">  TOTAL — API Security</t>
  </si>
  <si>
    <t>Ransomware Protection</t>
  </si>
  <si>
    <t>EDR solution – CrowdStrike / SentinelOne / Defender for Endpoint (1,000 endpoints × $100/yr)</t>
  </si>
  <si>
    <t>Per-endpoint annual licence</t>
  </si>
  <si>
    <t>Backup infrastructure + DR cloud storage + annual restoration testing</t>
  </si>
  <si>
    <t>Cloud backup + quarterly DR test fees</t>
  </si>
  <si>
    <t xml:space="preserve">  TOTAL — Ransomware Protection</t>
  </si>
  <si>
    <t>CSPM tool – Wiz / Orca / Prisma Cloud (annual subscription)</t>
  </si>
  <si>
    <t>Cloud-native CSPM for multi-cloud environment</t>
  </si>
  <si>
    <t>IaC security scanning integration in CI/CD pipeline (Checkov / Bridgecrew)</t>
  </si>
  <si>
    <t>Tool licence + engineer integration effort</t>
  </si>
  <si>
    <t xml:space="preserve">  TOTAL — Cloud Security</t>
  </si>
  <si>
    <t>Physical Security – Data Center</t>
  </si>
  <si>
    <t>Biometric access control system – hardware + installation</t>
  </si>
  <si>
    <t>Hardware procurement + vendor installation at primary data centre</t>
  </si>
  <si>
    <t>Visitor management system + CCTV upgrade (software + cameras + cabling)</t>
  </si>
  <si>
    <t>VMS licence + camera hardware + installation</t>
  </si>
  <si>
    <t xml:space="preserve">  TOTAL — Physical Security – Data Center</t>
  </si>
  <si>
    <t>Business Continuity &amp; DR</t>
  </si>
  <si>
    <t>DR site construction / co-location setup</t>
  </si>
  <si>
    <t>Co-location fees + infrastructure buildout (12-month commitment)</t>
  </si>
  <si>
    <t>Annual DR failover testing + BIA consultancy</t>
  </si>
  <si>
    <t>External DR test vendor + BIA facilitation</t>
  </si>
  <si>
    <t xml:space="preserve">  TOTAL — Business Continuity &amp; DR</t>
  </si>
  <si>
    <t>SOC &amp; SIEM</t>
  </si>
  <si>
    <t>SIEM platform upgrade – Splunk / Microsoft Sentinel (annual licence + professional services)</t>
  </si>
  <si>
    <t>Enterprise SIEM licence for ~500 log sources</t>
  </si>
  <si>
    <t>24/7 SOC coverage expansion + UEBA add-on module</t>
  </si>
  <si>
    <t>Additional analyst shifts + UEBA licence</t>
  </si>
  <si>
    <t xml:space="preserve">  TOTAL — SOC &amp; SIEM</t>
  </si>
  <si>
    <t>Digital Resilience Testing</t>
  </si>
  <si>
    <t>TLPT – threat-led penetration test (annual, external certified provider)</t>
  </si>
  <si>
    <t>TIBER-EU / CBEST-style test with certified provider</t>
  </si>
  <si>
    <t>Quarterly resilience exercises + improvement tracking dashboard</t>
  </si>
  <si>
    <t>Facilitation cost + internal dashboard development</t>
  </si>
  <si>
    <t xml:space="preserve">  TOTAL — Digital Resilience Testing</t>
  </si>
  <si>
    <t>R-001 / R-011 / R-030</t>
  </si>
  <si>
    <t>IAM &amp; MFA</t>
  </si>
  <si>
    <t>MFA platform licence – Okta / Duo Security (all users + privileged)</t>
  </si>
  <si>
    <t>Per-user annual licence for ~500 internal + 200 privileged users</t>
  </si>
  <si>
    <t>IAM platform upgrade for rate-limiting + lockout policies</t>
  </si>
  <si>
    <t>IAM platform upgrade effort</t>
  </si>
  <si>
    <t xml:space="preserve">  TOTAL — IAM &amp; MFA</t>
  </si>
  <si>
    <t>R-008 / R-045</t>
  </si>
  <si>
    <t>Insider Threat &amp; UEBA</t>
  </si>
  <si>
    <t>UEBA solution – Securonix / Exabeam (licence + implementation)</t>
  </si>
  <si>
    <t>Single deployment covering both R-008 and R-045</t>
  </si>
  <si>
    <t xml:space="preserve">  TOTAL — Insider Threat &amp; UEBA</t>
  </si>
  <si>
    <t>R-006 / R-044</t>
  </si>
  <si>
    <t>Third Party &amp; Supply Chain</t>
  </si>
  <si>
    <t>Vendor security assessment framework + scorecard tool</t>
  </si>
  <si>
    <t>Onshore GRC consultant + tooling</t>
  </si>
  <si>
    <t>Annual critical-vendor audits (external) – top 10 vendors</t>
  </si>
  <si>
    <t>Audit fees for top-10 critical vendors</t>
  </si>
  <si>
    <t xml:space="preserve">  TOTAL — Third Party &amp; Supply Chain</t>
  </si>
  <si>
    <t>ATM Physical Security</t>
  </si>
  <si>
    <t>Anti-skimming devices – full ATM fleet (hardware procurement)</t>
  </si>
  <si>
    <t>Hardware cost per ATM × fleet size estimate</t>
  </si>
  <si>
    <t>Transaction anomaly detection monitoring + alerts integration</t>
  </si>
  <si>
    <t>Integration with existing fraud monitoring platform</t>
  </si>
  <si>
    <t xml:space="preserve">  TOTAL — ATM Physical Security</t>
  </si>
  <si>
    <t>Compliance – NIS2</t>
  </si>
  <si>
    <t>External NIS2 gap assessment + remediation consultancy (8–12 weeks)</t>
  </si>
  <si>
    <t>Specialist GRC consultant</t>
  </si>
  <si>
    <t xml:space="preserve">  TOTAL — Compliance – NIS2</t>
  </si>
  <si>
    <t>R-042 / R-034</t>
  </si>
  <si>
    <t>Network &amp; Cloud Architecture</t>
  </si>
  <si>
    <t>Multi-cloud strategy + vendor exit plans + monitoring dashboard</t>
  </si>
  <si>
    <t>Strategic architecture redesign effort</t>
  </si>
  <si>
    <t xml:space="preserve">  TOTAL — Network &amp; Cloud Architecture</t>
  </si>
  <si>
    <t>AI Risk</t>
  </si>
  <si>
    <t>AI acceptable use policy + DLP configuration for AI tools</t>
  </si>
  <si>
    <t>Policy drafting (legal + GRC) + DLP rule development</t>
  </si>
  <si>
    <t>Employee AI risk awareness training (LMS module + content)</t>
  </si>
  <si>
    <t>LMS module + facilitation</t>
  </si>
  <si>
    <t xml:space="preserve">  TOTAL — AI Risk</t>
  </si>
  <si>
    <t>Human Risk – Deepfake</t>
  </si>
  <si>
    <t>Deepfake detection tool evaluation + pilot deployment</t>
  </si>
  <si>
    <t>Vendor POC + licensing (emerging technology)</t>
  </si>
  <si>
    <t>Deepfake awareness training campaign</t>
  </si>
  <si>
    <t>Targeted awareness content + simulation exercises</t>
  </si>
  <si>
    <t xml:space="preserve">  TOTAL — Human Risk – Deepfake</t>
  </si>
  <si>
    <t>Fraud – SIM Swap</t>
  </si>
  <si>
    <t>Authenticator-based MFA migration (replace SMS OTP)</t>
  </si>
  <si>
    <t>MFA platform upgrade + migration project</t>
  </si>
  <si>
    <t>SIM swap detection + carrier coordination</t>
  </si>
  <si>
    <t>Technical integration + carrier API fees</t>
  </si>
  <si>
    <t xml:space="preserve">  TOTAL — Fraud – SIM Swap</t>
  </si>
  <si>
    <t>Backup &amp; Recovery</t>
  </si>
  <si>
    <t>Backup infrastructure upgrade (hardware + cloud storage)</t>
  </si>
  <si>
    <t>On-prem + cloud backup hardware</t>
  </si>
  <si>
    <t>Annual DR testing + monitoring tooling</t>
  </si>
  <si>
    <t>DR test vendor + monitoring licence</t>
  </si>
  <si>
    <t xml:space="preserve">  TOTAL — Backup &amp; Recovery</t>
  </si>
  <si>
    <t>Software Supply Chain</t>
  </si>
  <si>
    <t>SCA tools integration in CI/CD + SBOM requirements</t>
  </si>
  <si>
    <t>SCA licence + engineer integration effort</t>
  </si>
  <si>
    <t xml:space="preserve">  TOTAL — Software Supply Chain</t>
  </si>
  <si>
    <t>Vulnerability scanner licence (Tenable / Qualys)</t>
  </si>
  <si>
    <t>Annual licence for enterprise vulnerability scanner</t>
  </si>
  <si>
    <t>Automated patch management tooling</t>
  </si>
  <si>
    <t>Patch automation tool licence + setup</t>
  </si>
  <si>
    <t xml:space="preserve">  TOTAL — Vulnerability Management</t>
  </si>
  <si>
    <t>R-027 / R-037</t>
  </si>
  <si>
    <t>Mobile Security</t>
  </si>
  <si>
    <t>RASP deployment + certificate pinning for mobile app</t>
  </si>
  <si>
    <t>RASP integration + security hardening</t>
  </si>
  <si>
    <t>Code obfuscation + root/jailbreak detection implementation</t>
  </si>
  <si>
    <t>Development effort</t>
  </si>
  <si>
    <t xml:space="preserve">  TOTAL — Mobile Security</t>
  </si>
  <si>
    <t>R-019 / R-028</t>
  </si>
  <si>
    <t>Security Awareness</t>
  </si>
  <si>
    <t>Annual security training platform licence (KnowBe4 / Proofpoint)</t>
  </si>
  <si>
    <t>Per-user licence for awareness training platform</t>
  </si>
  <si>
    <t>Phishing + vishing simulation campaigns (quarterly)</t>
  </si>
  <si>
    <t>Campaign delivery + facilitation</t>
  </si>
  <si>
    <t xml:space="preserve">  TOTAL — Security Awareness</t>
  </si>
  <si>
    <t>R-046 / R-048</t>
  </si>
  <si>
    <t>Risk Mgmt &amp; GRC Tooling</t>
  </si>
  <si>
    <t>GRC platform enhancements + compliance mapping validation</t>
  </si>
  <si>
    <t>Platform development + consultant engagement</t>
  </si>
  <si>
    <t>Risk model testing framework + validation dashboard</t>
  </si>
  <si>
    <t>Internal engineering effort</t>
  </si>
  <si>
    <t xml:space="preserve">  TOTAL — Risk Mgmt &amp; GRC Tooling</t>
  </si>
  <si>
    <t>Incident Response</t>
  </si>
  <si>
    <t>Tabletop exercise facilitation (quarterly)</t>
  </si>
  <si>
    <t>External facilitator fees</t>
  </si>
  <si>
    <t>IR plan update + post-incident review tooling</t>
  </si>
  <si>
    <t>Consultant + tooling</t>
  </si>
  <si>
    <t xml:space="preserve">  TOTAL — Incident Response</t>
  </si>
  <si>
    <t>ITSM tool upgrade (ServiceNow / Jira)</t>
  </si>
  <si>
    <t>ITSM licence upgrade</t>
  </si>
  <si>
    <t xml:space="preserve">  TOTAL — Change Management</t>
  </si>
  <si>
    <t>Database Security</t>
  </si>
  <si>
    <t>Database configuration scanning tool (DbProtect / Imperva)</t>
  </si>
  <si>
    <t>Annual licence + deployment</t>
  </si>
  <si>
    <t xml:space="preserve">  TOTAL — Database Security</t>
  </si>
  <si>
    <t>DPA templates + legal review for all vendors</t>
  </si>
  <si>
    <t>Legal fees + template development</t>
  </si>
  <si>
    <t xml:space="preserve">  TOTAL — Third Party Data Exposure</t>
  </si>
  <si>
    <t>PDPL Breach Notification</t>
  </si>
  <si>
    <t>Automated breach detection + PDPC notification workflow</t>
  </si>
  <si>
    <t>SIEM integration + notification system</t>
  </si>
  <si>
    <t xml:space="preserve">  TOTAL — PDPL Breach Notification</t>
  </si>
  <si>
    <t>Data Governance – ROPA</t>
  </si>
  <si>
    <t>Automated data discovery tool + ROPA maintenance</t>
  </si>
  <si>
    <t>Tool licence + data mapping effort</t>
  </si>
  <si>
    <t xml:space="preserve">  TOTAL — Data Governance – ROPA</t>
  </si>
  <si>
    <t>Automation &amp; Evidence</t>
  </si>
  <si>
    <t>Workflow health check + retry logic + alerting dashboard</t>
  </si>
  <si>
    <t>Internal development + monitoring licence</t>
  </si>
  <si>
    <t xml:space="preserve">  TOTAL — Automation &amp; Evidence</t>
  </si>
  <si>
    <t xml:space="preserve">  GRAND TOTAL — ALL RISK MITIGATION BUDGETS</t>
  </si>
  <si>
    <t>NOTES &amp; ASSUMPTIONS</t>
  </si>
  <si>
    <t>1.  All costs are estimates based on publicly available market rates as of 2025–2026.  Actual procurement may vary ±20%.</t>
  </si>
  <si>
    <t>2.  Costs denominated in USD.  Convert to EGP at prevailing CBE exchange rate at time of procurement.</t>
  </si>
  <si>
    <t>3.  Blue figures in "Estimated Cost" column are hardcoded inputs — update when vendor quotes are received.</t>
  </si>
  <si>
    <t>4.  Shared tools (e.g., PAM for R-003/R-017; UEBA for R-008/R-045) are budgeted once to avoid double-counting.</t>
  </si>
  <si>
    <t>5.  Personnel / internal effort costs are included where a tool implementation requires significant engineering time.</t>
  </si>
  <si>
    <t>6.  This sheet should be reviewed quarterly and updated after each procurement or vendor negotiation.</t>
  </si>
  <si>
    <t>RISK SCORING METHODOLOGY — REFERENCE CARD</t>
  </si>
  <si>
    <t>May occur once in 1-5 years</t>
  </si>
  <si>
    <t>Major disruption, severe financial impact, moderate safety impact</t>
  </si>
  <si>
    <t>Catastrophic disruption, extreme financial loss, severe safety impact</t>
  </si>
  <si>
    <t>RISK SCORE MATRIX  (Score = Likelihood × Impact)</t>
  </si>
  <si>
    <t>1-2</t>
  </si>
  <si>
    <t>3-4</t>
  </si>
  <si>
    <t>Managed by System / Asset Owner</t>
  </si>
  <si>
    <t>5-10</t>
  </si>
  <si>
    <t>12-16</t>
  </si>
  <si>
    <t>20-25</t>
  </si>
  <si>
    <t>Escalate to the Board of Directors via the Enterprise Risk Register</t>
  </si>
  <si>
    <t>RISK ASSESSMENT MATRIX  (5 × 5)</t>
  </si>
  <si>
    <t>Risk Score  =  Likelihood  ×  Impact     |     Range: 1 – 25</t>
  </si>
  <si>
    <t>Likelihood ↓  /  Impact →</t>
  </si>
  <si>
    <t>1
Very Low</t>
  </si>
  <si>
    <t>2
Low</t>
  </si>
  <si>
    <t>3
Medium</t>
  </si>
  <si>
    <t>4
High</t>
  </si>
  <si>
    <t>5
Critical</t>
  </si>
  <si>
    <t>5 – Very High</t>
  </si>
  <si>
    <t>5
MEDIUM</t>
  </si>
  <si>
    <t>10
MEDIUM</t>
  </si>
  <si>
    <t>15
HIGH</t>
  </si>
  <si>
    <t>20
CRITICAL</t>
  </si>
  <si>
    <t>25
CRITICAL</t>
  </si>
  <si>
    <t>4
LOW</t>
  </si>
  <si>
    <t>8
MEDIUM</t>
  </si>
  <si>
    <t>12
HIGH</t>
  </si>
  <si>
    <t>16
HIGH</t>
  </si>
  <si>
    <t>3
LOW</t>
  </si>
  <si>
    <t>6
MEDIUM</t>
  </si>
  <si>
    <t>9
MEDIUM</t>
  </si>
  <si>
    <t>2
VERY LOW</t>
  </si>
  <si>
    <t>1
VERY LOW</t>
  </si>
  <si>
    <t>RISK LEVEL LEGEND</t>
  </si>
  <si>
    <t>🔴  CRITICAL</t>
  </si>
  <si>
    <t>Score 20–25</t>
  </si>
  <si>
    <t>Escalate to Board of Directors via Enterprise Risk Register (ERR)</t>
  </si>
  <si>
    <t>🟠  HIGH</t>
  </si>
  <si>
    <t>Score 12–16</t>
  </si>
  <si>
    <t>Escalate to C-Suite (CEO / CRO / CISO) via GRC Committee</t>
  </si>
  <si>
    <t>🟡  MEDIUM</t>
  </si>
  <si>
    <t>Score 5–10</t>
  </si>
  <si>
    <t>🟢  LOW</t>
  </si>
  <si>
    <t>Score 3–4</t>
  </si>
  <si>
    <t>🔵  VERY LOW</t>
  </si>
  <si>
    <t>Score 1–2</t>
  </si>
  <si>
    <t>RISK HEAT MAP  —  WADJET GRC</t>
  </si>
  <si>
    <t>Risks plotted by Likelihood × Impact   |   Hover a cell to see assigned Risk IDs</t>
  </si>
  <si>
    <t>Risk IDs</t>
  </si>
  <si>
    <t>·</t>
  </si>
  <si>
    <t>R-002
R-029
R-031
R-032
R-036
R-042
R-047</t>
  </si>
  <si>
    <t>R-002, R-029, R-031, R-032, R-036, R-042, R-047</t>
  </si>
  <si>
    <t>R-004
R-007</t>
  </si>
  <si>
    <t>R-004, R-007</t>
  </si>
  <si>
    <t>—</t>
  </si>
  <si>
    <t>HEAT MAP COLOUR KEY</t>
  </si>
  <si>
    <t>🔴  CRITICAL (20–25)</t>
  </si>
  <si>
    <t>🟠  HIGH (12–16)</t>
  </si>
  <si>
    <t>🟡  MEDIUM (5–10)</t>
  </si>
  <si>
    <t>🟢  LOW (3–4)</t>
  </si>
  <si>
    <t>🔵  VERY LOW (1–2)</t>
  </si>
  <si>
    <t>WADJET GRC — EXECUTIVE RISK SUMMARY DASHBOARD</t>
  </si>
  <si>
    <t>As of: June 2026   |   Total: 48 Risks   |   Critical: 11   |   High: 34   |   Total Budget: $4.275M   |   Est. Loss Prevented: $109M</t>
  </si>
  <si>
    <t>RISK BREAKDOWN BY CATEGORY</t>
  </si>
  <si>
    <t>Red RAG</t>
  </si>
  <si>
    <t>Amber RAG</t>
  </si>
  <si>
    <t>Compliance &amp; Legal</t>
  </si>
  <si>
    <t>$485K</t>
  </si>
  <si>
    <t>$15.5M</t>
  </si>
  <si>
    <t>$980K</t>
  </si>
  <si>
    <t>$16.5M</t>
  </si>
  <si>
    <t>$665K</t>
  </si>
  <si>
    <t>Operational &amp; BCP</t>
  </si>
  <si>
    <t>$625K</t>
  </si>
  <si>
    <t>$260K</t>
  </si>
  <si>
    <t>$7M</t>
  </si>
  <si>
    <t>$410K</t>
  </si>
  <si>
    <t>$12M</t>
  </si>
  <si>
    <t>Application Security &amp; Mobile</t>
  </si>
  <si>
    <t>$290K</t>
  </si>
  <si>
    <t>$6.5M</t>
  </si>
  <si>
    <t>Cloud, Physical &amp; AI</t>
  </si>
  <si>
    <t>$500K</t>
  </si>
  <si>
    <t>Risk Management &amp; GRC</t>
  </si>
  <si>
    <t>$1.5M</t>
  </si>
  <si>
    <t>TOTAL</t>
  </si>
  <si>
    <t>RAG STATUS SUMMARY</t>
  </si>
  <si>
    <t>🔴 Red — Immediate Action Required</t>
  </si>
  <si>
    <t>13 Risks</t>
  </si>
  <si>
    <t>Escalate to CISO / Risk Committee immediately</t>
  </si>
  <si>
    <t>🟡 Amber — Monitor Closely</t>
  </si>
  <si>
    <t>11 Risks</t>
  </si>
  <si>
    <t>Review progress weekly; escalate if no improvement</t>
  </si>
  <si>
    <t>🟢 Green — On Track</t>
  </si>
  <si>
    <t>24 Risks</t>
  </si>
  <si>
    <t>Continue monitoring per review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</si>
</sst>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\$#,##0"/>
  </numFmts>
  <fonts count="56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1"/>
      <color rgb="FFFFFFFF"/>
      <name val="Arial"/>
      <charset val="1"/>
    </font>
    <font>
      <b/>
      <sz val="10"/>
      <color rgb="FFFFFFFF"/>
      <name val="Arial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595959"/>
      <name val="Arial"/>
      <charset val="1"/>
    </font>
    <font>
      <sz val="10"/>
      <name val="Arial"/>
      <charset val="1"/>
    </font>
    <font>
      <sz val="11"/>
      <name val="Arial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i/>
      <sz val="10"/>
      <color rgb="FF808080"/>
      <name val="Arial"/>
      <charset val="1"/>
    </font>
    <font>
      <sz val="10"/>
      <color rgb="FF404040"/>
      <name val="Arial"/>
      <charset val="1"/>
    </font>
    <font>
      <i/>
      <sz val="9"/>
      <color rgb="FF2E75B6"/>
      <name val="Arial"/>
      <charset val="1"/>
    </font>
    <font>
      <i/>
      <sz val="10"/>
      <color rgb="FFC8A84B"/>
      <name val="Arial"/>
      <charset val="1"/>
    </font>
    <font>
      <b/>
      <sz val="9"/>
      <color rgb="FF1F2D3D"/>
      <name val="Arial"/>
      <charset val="1"/>
    </font>
    <font>
      <sz val="9"/>
      <color rgb="FF4A5568"/>
      <name val="Arial"/>
      <charset val="1"/>
    </font>
    <font>
      <sz val="10"/>
      <color rgb="FF1F2D3D"/>
      <name val="Arial"/>
      <charset val="1"/>
    </font>
    <font>
      <b/>
      <sz val="10"/>
      <color rgb="FF1F497D"/>
      <name val="Arial"/>
      <charset val="1"/>
    </font>
    <font>
      <sz val="10"/>
      <color rgb="FF1F497D"/>
      <name val="Arial"/>
      <charset val="1"/>
    </font>
    <font>
      <b/>
      <sz val="10"/>
      <color rgb="FF375623"/>
      <name val="Arial"/>
      <charset val="1"/>
    </font>
    <font>
      <sz val="10"/>
      <color rgb="FF375623"/>
      <name val="Arial"/>
      <charset val="1"/>
    </font>
    <font>
      <b/>
      <sz val="10"/>
      <color rgb="FF7F6000"/>
      <name val="Arial"/>
      <charset val="1"/>
    </font>
    <font>
      <sz val="10"/>
      <color rgb="FF7F6000"/>
      <name val="Arial"/>
      <charset val="1"/>
    </font>
    <font>
      <b/>
      <sz val="10"/>
      <color rgb="FFC55A11"/>
      <name val="Arial"/>
      <charset val="1"/>
    </font>
    <font>
      <sz val="10"/>
      <color rgb="FFC55A11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sz val="10"/>
      <color rgb="FF1F2D3D"/>
      <name val="Arial"/>
      <charset val="1"/>
    </font>
    <font>
      <b/>
      <sz val="9"/>
      <color rgb="FFFFFFFF"/>
      <name val="Arial"/>
      <charset val="1"/>
    </font>
    <font>
      <b/>
      <sz val="14"/>
      <color rgb="FFC8A84B"/>
      <name val="Arial"/>
      <charset val="1"/>
    </font>
    <font>
      <b/>
      <sz val="12"/>
      <color rgb="FFC8A84B"/>
      <name val="Arial"/>
      <charset val="1"/>
    </font>
    <font>
      <b/>
      <sz val="13"/>
      <color rgb="FFFFFFFF"/>
      <name val="Arial"/>
      <charset val="1"/>
    </font>
    <font>
      <b/>
      <sz val="9"/>
      <color rgb="FF1F3864"/>
      <name val="Arial"/>
      <charset val="1"/>
    </font>
    <font>
      <sz val="9"/>
      <name val="Arial"/>
      <charset val="1"/>
    </font>
    <font>
      <b/>
      <sz val="9"/>
      <color rgb="FF7F6000"/>
      <name val="Arial"/>
      <charset val="1"/>
    </font>
    <font>
      <b/>
      <sz val="9"/>
      <color rgb="FF375623"/>
      <name val="Arial"/>
      <charset val="1"/>
    </font>
    <font>
      <b/>
      <sz val="9"/>
      <color rgb="FF1F497D"/>
      <name val="Arial"/>
      <charset val="1"/>
    </font>
    <font>
      <b/>
      <sz val="9"/>
      <color rgb="FF000000"/>
      <name val="Arial"/>
      <charset val="1"/>
    </font>
    <font>
      <b/>
      <sz val="11"/>
      <color rgb="FF7F6000"/>
      <name val="Arial"/>
      <charset val="1"/>
    </font>
    <font>
      <b/>
      <sz val="12"/>
      <color rgb="FFFFFFFF"/>
      <name val="Arial"/>
      <charset val="1"/>
    </font>
    <font>
      <sz val="9"/>
      <color rgb="FF000000"/>
      <name val="Arial"/>
      <charset val="1"/>
    </font>
    <font>
      <sz val="8.5"/>
      <color rgb="FF000000"/>
      <name val="Arial"/>
      <charset val="1"/>
    </font>
    <font>
      <b/>
      <sz val="14"/>
      <color rgb="FFFFC000"/>
      <name val="Arial"/>
      <charset val="1"/>
    </font>
    <font>
      <b/>
      <sz val="14"/>
      <color rgb="FF92D050"/>
      <name val="Arial"/>
      <charset val="1"/>
    </font>
    <font>
      <b/>
      <sz val="14"/>
      <color rgb="FFFF0000"/>
      <name val="Arial"/>
      <charset val="1"/>
    </font>
    <font>
      <i/>
      <sz val="9"/>
      <color rgb="FF595959"/>
      <name val="Arial"/>
      <charset val="1"/>
    </font>
    <font>
      <sz val="9"/>
      <color rgb="FF00008B"/>
      <name val="Arial"/>
      <charset val="1"/>
    </font>
    <font>
      <sz val="9"/>
      <color rgb="FF404040"/>
      <name val="Arial"/>
      <charset val="1"/>
    </font>
    <font>
      <b/>
      <sz val="10"/>
      <name val="Arial"/>
      <charset val="1"/>
    </font>
    <font>
      <b/>
      <sz val="10"/>
      <color rgb="FF4A5568"/>
      <name val="Arial"/>
      <charset val="1"/>
    </font>
    <font>
      <sz val="10"/>
      <color rgb="FFFFFFFF"/>
      <name val="Arial"/>
      <charset val="1"/>
    </font>
    <font>
      <sz val="10"/>
      <color rgb="FF4A5568"/>
      <name val="Arial"/>
      <charset val="1"/>
    </font>
    <font>
      <sz val="9"/>
      <color rgb="FFFFFFFF"/>
      <name val="Arial"/>
      <charset val="1"/>
    </font>
    <font>
      <b/>
      <sz val="10"/>
      <color rgb="FFE26B0A"/>
      <name val="Arial"/>
      <charset val="1"/>
    </font>
  </fonts>
  <fills count="36">
    <fill>
      <patternFill patternType="none"/>
    </fill>
    <fill>
      <patternFill patternType="gray125"/>
    </fill>
    <fill>
      <patternFill patternType="solid">
        <fgColor rgb="FF1F3864"/>
        <bgColor rgb="FF243F60"/>
      </patternFill>
    </fill>
    <fill>
      <patternFill patternType="solid">
        <fgColor rgb="FF2E75B6"/>
        <bgColor rgb="FF2980B9"/>
      </patternFill>
    </fill>
    <fill>
      <patternFill patternType="solid">
        <fgColor rgb="FF595959"/>
        <bgColor rgb="FF4A5568"/>
      </patternFill>
    </fill>
    <fill>
      <patternFill patternType="solid">
        <fgColor rgb="FFC00000"/>
        <bgColor rgb="FF9C0006"/>
      </patternFill>
    </fill>
    <fill>
      <patternFill patternType="solid">
        <fgColor rgb="FFE26B0A"/>
        <bgColor rgb="FFE67E22"/>
      </patternFill>
    </fill>
    <fill>
      <patternFill patternType="solid">
        <fgColor rgb="FF1F5C1A"/>
        <bgColor rgb="FF375623"/>
      </patternFill>
    </fill>
    <fill>
      <patternFill patternType="solid">
        <fgColor rgb="FF7B2C2C"/>
        <bgColor rgb="FF404040"/>
      </patternFill>
    </fill>
    <fill>
      <patternFill patternType="solid">
        <fgColor rgb="FFDEEAF1"/>
        <bgColor rgb="FFDDEEFF"/>
      </patternFill>
    </fill>
    <fill>
      <patternFill patternType="solid">
        <fgColor rgb="FFFFFFFF"/>
        <bgColor rgb="FFF7F9FC"/>
      </patternFill>
    </fill>
    <fill>
      <patternFill patternType="solid">
        <fgColor rgb="FF70AD47"/>
        <bgColor rgb="FF92D050"/>
      </patternFill>
    </fill>
    <fill>
      <patternFill patternType="solid">
        <fgColor rgb="FFF2F2F2"/>
        <bgColor rgb="FFF2F5F7"/>
      </patternFill>
    </fill>
    <fill>
      <patternFill patternType="solid">
        <fgColor rgb="FFFFC000"/>
        <bgColor rgb="FFF1C40F"/>
      </patternFill>
    </fill>
    <fill>
      <patternFill patternType="solid">
        <fgColor rgb="FFFF0000"/>
        <bgColor rgb="FFC00000"/>
      </patternFill>
    </fill>
    <fill>
      <patternFill patternType="solid">
        <fgColor rgb="FFBDD7EE"/>
        <bgColor rgb="FFCCCCCC"/>
      </patternFill>
    </fill>
    <fill>
      <patternFill patternType="solid">
        <fgColor rgb="FF1F2D3D"/>
        <bgColor rgb="FF1A3C4E"/>
      </patternFill>
    </fill>
    <fill>
      <patternFill patternType="solid">
        <fgColor rgb="FF1A3C4E"/>
        <bgColor rgb="FF1F3864"/>
      </patternFill>
    </fill>
    <fill>
      <patternFill patternType="solid">
        <fgColor rgb="FFF2F5F7"/>
        <bgColor rgb="FFF2F2F2"/>
      </patternFill>
    </fill>
    <fill>
      <patternFill patternType="solid">
        <fgColor rgb="FFDDEEFF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FE5CC"/>
      </patternFill>
    </fill>
    <fill>
      <patternFill patternType="solid">
        <fgColor rgb="FFFFCCCC"/>
        <bgColor rgb="FFFFC7CE"/>
      </patternFill>
    </fill>
    <fill>
      <patternFill patternType="solid">
        <fgColor rgb="FFFFF9C4"/>
        <bgColor rgb="FFFFF2CC"/>
      </patternFill>
    </fill>
    <fill>
      <patternFill patternType="solid">
        <fgColor rgb="FFC55A11"/>
        <bgColor rgb="FFE26B0A"/>
      </patternFill>
    </fill>
    <fill>
      <patternFill patternType="solid">
        <fgColor rgb="FF243F60"/>
        <bgColor rgb="FF1F3864"/>
      </patternFill>
    </fill>
    <fill>
      <patternFill patternType="solid">
        <fgColor rgb="FFED7D31"/>
        <bgColor rgb="FFE67E22"/>
      </patternFill>
    </fill>
    <fill>
      <patternFill patternType="solid">
        <fgColor rgb="FFFFD966"/>
        <bgColor rgb="FFF1C40F"/>
      </patternFill>
    </fill>
    <fill>
      <patternFill patternType="solid">
        <fgColor rgb="FFF7F9FC"/>
        <bgColor rgb="FFF2F5F7"/>
      </patternFill>
    </fill>
    <fill>
      <patternFill patternType="solid">
        <fgColor rgb="FFFFE5CC"/>
        <bgColor rgb="FFFCE4D6"/>
      </patternFill>
    </fill>
    <fill>
      <patternFill patternType="solid">
        <fgColor rgb="FFF1C40F"/>
        <bgColor rgb="FFFFC000"/>
      </patternFill>
    </fill>
    <fill>
      <patternFill patternType="solid">
        <fgColor rgb="FFE67E22"/>
        <bgColor rgb="FFED7D31"/>
      </patternFill>
    </fill>
    <fill>
      <patternFill patternType="solid">
        <fgColor rgb="FFC0392B"/>
        <bgColor rgb="FFC55A11"/>
      </patternFill>
    </fill>
    <fill>
      <patternFill patternType="solid">
        <fgColor rgb="FF27AE60"/>
        <bgColor rgb="FF70AD47"/>
      </patternFill>
    </fill>
    <fill>
      <patternFill patternType="solid">
        <fgColor rgb="FF2980B9"/>
        <bgColor rgb="FF2E75B6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  <diagonal/>
    </border>
    <border>
      <left style="thin">
        <color rgb="FFD9DEE3"/>
      </left>
      <right/>
      <top style="thin">
        <color rgb="FFD9DEE3"/>
      </top>
      <bottom style="thin">
        <color rgb="FFD9DEE3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4">
    <xf numFmtId="0" fontId="0" fillId="0" borderId="0" xfId="0"/>
    <xf numFmtId="0" fontId="5" fillId="11" borderId="0" xfId="0" applyFont="1" applyFill="1" applyBorder="1" applyAlignment="1">
      <alignment horizontal="center" vertical="center"/>
    </xf>
    <xf numFmtId="0" fontId="7" fillId="10" borderId="0" xfId="0" applyFont="1" applyFill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7" fillId="9" borderId="0" xfId="0" applyFont="1" applyFill="1" applyBorder="1" applyAlignment="1">
      <alignment horizontal="left" vertical="center" indent="1"/>
    </xf>
    <xf numFmtId="0" fontId="6" fillId="9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center" vertical="center"/>
    </xf>
    <xf numFmtId="0" fontId="4" fillId="8" borderId="0" xfId="0" applyFont="1" applyFill="1" applyBorder="1" applyAlignment="1">
      <alignment horizontal="center" vertical="center"/>
    </xf>
    <xf numFmtId="0" fontId="4" fillId="7" borderId="0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  <xf numFmtId="0" fontId="9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center" indent="1"/>
    </xf>
    <xf numFmtId="0" fontId="12" fillId="9" borderId="1" xfId="0" applyFont="1" applyFill="1" applyBorder="1" applyAlignment="1">
      <alignment horizontal="left" vertical="center" indent="1"/>
    </xf>
    <xf numFmtId="0" fontId="6" fillId="9" borderId="1" xfId="0" applyFont="1" applyFill="1" applyBorder="1" applyAlignment="1">
      <alignment horizontal="left" vertical="center" indent="1"/>
    </xf>
    <xf numFmtId="0" fontId="12" fillId="10" borderId="1" xfId="0" applyFont="1" applyFill="1" applyBorder="1" applyAlignment="1">
      <alignment horizontal="left" vertical="center" indent="1"/>
    </xf>
    <xf numFmtId="14" fontId="6" fillId="15" borderId="1" xfId="0" applyNumberFormat="1" applyFont="1" applyFill="1" applyBorder="1" applyAlignment="1">
      <alignment horizontal="left" vertical="center" indent="1"/>
    </xf>
    <xf numFmtId="0" fontId="13" fillId="10" borderId="1" xfId="0" applyFont="1" applyFill="1" applyBorder="1" applyAlignment="1">
      <alignment horizontal="left" vertical="center" indent="1"/>
    </xf>
    <xf numFmtId="0" fontId="13" fillId="9" borderId="1" xfId="0" applyFont="1" applyFill="1" applyBorder="1" applyAlignment="1">
      <alignment horizontal="left" vertical="center" indent="1"/>
    </xf>
    <xf numFmtId="0" fontId="3" fillId="17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 wrapText="1"/>
    </xf>
    <xf numFmtId="0" fontId="18" fillId="10" borderId="2" xfId="0" applyFont="1" applyFill="1" applyBorder="1" applyAlignment="1">
      <alignment horizontal="left" vertical="center" wrapText="1"/>
    </xf>
    <xf numFmtId="0" fontId="0" fillId="10" borderId="2" xfId="0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17" fillId="18" borderId="2" xfId="0" applyFont="1" applyFill="1" applyBorder="1" applyAlignment="1">
      <alignment horizontal="center" vertical="center" wrapText="1"/>
    </xf>
    <xf numFmtId="0" fontId="18" fillId="18" borderId="2" xfId="0" applyFont="1" applyFill="1" applyBorder="1" applyAlignment="1">
      <alignment horizontal="left" vertical="center" wrapText="1"/>
    </xf>
    <xf numFmtId="0" fontId="0" fillId="18" borderId="2" xfId="0" applyFill="1" applyBorder="1" applyAlignment="1">
      <alignment horizontal="center" vertical="center"/>
    </xf>
    <xf numFmtId="0" fontId="18" fillId="10" borderId="2" xfId="0" applyFont="1" applyFill="1" applyBorder="1" applyAlignment="1">
      <alignment horizontal="right" vertical="center" wrapText="1"/>
    </xf>
    <xf numFmtId="0" fontId="18" fillId="18" borderId="2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left" vertical="center" indent="1"/>
    </xf>
    <xf numFmtId="0" fontId="19" fillId="19" borderId="1" xfId="0" applyFont="1" applyFill="1" applyBorder="1" applyAlignment="1">
      <alignment horizontal="center" vertical="center" wrapText="1"/>
    </xf>
    <xf numFmtId="0" fontId="20" fillId="19" borderId="1" xfId="0" applyFont="1" applyFill="1" applyBorder="1" applyAlignment="1">
      <alignment horizontal="left" vertical="center" wrapText="1" indent="1"/>
    </xf>
    <xf numFmtId="0" fontId="21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left" vertical="center" indent="1"/>
    </xf>
    <xf numFmtId="0" fontId="21" fillId="20" borderId="1" xfId="0" applyFont="1" applyFill="1" applyBorder="1" applyAlignment="1">
      <alignment horizontal="center" vertical="center" wrapText="1"/>
    </xf>
    <xf numFmtId="0" fontId="22" fillId="20" borderId="1" xfId="0" applyFont="1" applyFill="1" applyBorder="1" applyAlignment="1">
      <alignment horizontal="left" vertical="center" wrapText="1" indent="1"/>
    </xf>
    <xf numFmtId="0" fontId="23" fillId="21" borderId="1" xfId="0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left" vertical="center" indent="1"/>
    </xf>
    <xf numFmtId="0" fontId="23" fillId="21" borderId="1" xfId="0" applyFont="1" applyFill="1" applyBorder="1" applyAlignment="1">
      <alignment horizontal="center" vertical="center" wrapText="1"/>
    </xf>
    <xf numFmtId="0" fontId="24" fillId="21" borderId="1" xfId="0" applyFont="1" applyFill="1" applyBorder="1" applyAlignment="1">
      <alignment horizontal="left" vertical="center" wrapText="1" indent="1"/>
    </xf>
    <xf numFmtId="0" fontId="25" fillId="22" borderId="1" xfId="0" applyFont="1" applyFill="1" applyBorder="1" applyAlignment="1">
      <alignment horizontal="center" vertical="center"/>
    </xf>
    <xf numFmtId="0" fontId="26" fillId="22" borderId="1" xfId="0" applyFont="1" applyFill="1" applyBorder="1" applyAlignment="1">
      <alignment horizontal="left" vertical="center" indent="1"/>
    </xf>
    <xf numFmtId="0" fontId="25" fillId="22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 wrapText="1" indent="1"/>
    </xf>
    <xf numFmtId="0" fontId="27" fillId="23" borderId="1" xfId="0" applyFont="1" applyFill="1" applyBorder="1" applyAlignment="1">
      <alignment horizontal="center" vertical="center"/>
    </xf>
    <xf numFmtId="0" fontId="28" fillId="23" borderId="1" xfId="0" applyFont="1" applyFill="1" applyBorder="1" applyAlignment="1">
      <alignment horizontal="left" vertical="center" indent="1"/>
    </xf>
    <xf numFmtId="0" fontId="27" fillId="23" borderId="1" xfId="0" applyFont="1" applyFill="1" applyBorder="1" applyAlignment="1">
      <alignment horizontal="center" vertical="center" wrapText="1"/>
    </xf>
    <xf numFmtId="0" fontId="28" fillId="23" borderId="1" xfId="0" applyFont="1" applyFill="1" applyBorder="1" applyAlignment="1">
      <alignment horizontal="left" vertical="center" wrapText="1" indent="1"/>
    </xf>
    <xf numFmtId="0" fontId="29" fillId="18" borderId="2" xfId="0" applyFont="1" applyFill="1" applyBorder="1" applyAlignment="1">
      <alignment horizontal="left" vertical="center"/>
    </xf>
    <xf numFmtId="0" fontId="29" fillId="18" borderId="2" xfId="0" applyFont="1" applyFill="1" applyBorder="1" applyAlignment="1">
      <alignment horizontal="center" vertical="center" wrapText="1"/>
    </xf>
    <xf numFmtId="0" fontId="30" fillId="17" borderId="2" xfId="0" applyFont="1" applyFill="1" applyBorder="1" applyAlignment="1">
      <alignment horizontal="center" vertical="center" wrapText="1"/>
    </xf>
    <xf numFmtId="0" fontId="29" fillId="18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15" fontId="30" fillId="3" borderId="1" xfId="0" applyNumberFormat="1" applyFont="1" applyFill="1" applyBorder="1" applyAlignment="1">
      <alignment horizontal="center" vertical="center" wrapText="1"/>
    </xf>
    <xf numFmtId="0" fontId="34" fillId="15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left" vertical="center"/>
    </xf>
    <xf numFmtId="0" fontId="30" fillId="25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left" vertical="top" wrapText="1"/>
    </xf>
    <xf numFmtId="0" fontId="36" fillId="21" borderId="1" xfId="0" applyFont="1" applyFill="1" applyBorder="1" applyAlignment="1">
      <alignment horizontal="center" vertical="center"/>
    </xf>
    <xf numFmtId="0" fontId="37" fillId="20" borderId="1" xfId="0" applyFont="1" applyFill="1" applyBorder="1" applyAlignment="1">
      <alignment horizontal="center" vertical="center"/>
    </xf>
    <xf numFmtId="0" fontId="38" fillId="19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5" fillId="9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  <xf numFmtId="164" fontId="35" fillId="9" borderId="1" xfId="0" applyNumberFormat="1" applyFont="1" applyFill="1" applyBorder="1" applyAlignment="1">
      <alignment horizontal="left" vertical="top" wrapText="1"/>
    </xf>
    <xf numFmtId="15" fontId="35" fillId="9" borderId="1" xfId="0" applyNumberFormat="1" applyFont="1" applyFill="1" applyBorder="1" applyAlignment="1">
      <alignment horizontal="center" vertical="center"/>
    </xf>
    <xf numFmtId="15" fontId="35" fillId="9" borderId="1" xfId="0" applyNumberFormat="1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center"/>
    </xf>
    <xf numFmtId="0" fontId="35" fillId="10" borderId="1" xfId="0" applyFont="1" applyFill="1" applyBorder="1" applyAlignment="1">
      <alignment horizontal="left" vertical="top" wrapText="1"/>
    </xf>
    <xf numFmtId="164" fontId="35" fillId="10" borderId="1" xfId="0" applyNumberFormat="1" applyFont="1" applyFill="1" applyBorder="1" applyAlignment="1">
      <alignment horizontal="left" vertical="top" wrapText="1"/>
    </xf>
    <xf numFmtId="15" fontId="35" fillId="10" borderId="1" xfId="0" applyNumberFormat="1" applyFont="1" applyFill="1" applyBorder="1" applyAlignment="1">
      <alignment horizontal="center" vertical="center"/>
    </xf>
    <xf numFmtId="15" fontId="35" fillId="10" borderId="1" xfId="0" applyNumberFormat="1" applyFont="1" applyFill="1" applyBorder="1" applyAlignment="1">
      <alignment horizontal="left" vertical="center"/>
    </xf>
    <xf numFmtId="0" fontId="5" fillId="25" borderId="1" xfId="0" applyFont="1" applyFill="1" applyBorder="1" applyAlignment="1">
      <alignment horizontal="center" vertical="center"/>
    </xf>
    <xf numFmtId="0" fontId="40" fillId="21" borderId="1" xfId="0" applyFont="1" applyFill="1" applyBorder="1" applyAlignment="1">
      <alignment horizontal="center" vertical="center"/>
    </xf>
    <xf numFmtId="0" fontId="30" fillId="3" borderId="4" xfId="0" applyFont="1" applyFill="1" applyBorder="1" applyAlignment="1">
      <alignment horizontal="center" vertical="center" wrapText="1"/>
    </xf>
    <xf numFmtId="0" fontId="34" fillId="10" borderId="6" xfId="0" applyFont="1" applyFill="1" applyBorder="1" applyAlignment="1">
      <alignment horizontal="center" vertical="center"/>
    </xf>
    <xf numFmtId="0" fontId="42" fillId="10" borderId="6" xfId="0" applyFont="1" applyFill="1" applyBorder="1" applyAlignment="1">
      <alignment horizontal="left" vertical="center" wrapText="1"/>
    </xf>
    <xf numFmtId="0" fontId="42" fillId="10" borderId="6" xfId="0" applyFont="1" applyFill="1" applyBorder="1" applyAlignment="1">
      <alignment horizontal="center" vertical="center"/>
    </xf>
    <xf numFmtId="0" fontId="30" fillId="27" borderId="6" xfId="0" applyFont="1" applyFill="1" applyBorder="1" applyAlignment="1">
      <alignment horizontal="center" vertical="center"/>
    </xf>
    <xf numFmtId="0" fontId="39" fillId="28" borderId="6" xfId="0" applyFont="1" applyFill="1" applyBorder="1" applyAlignment="1">
      <alignment horizontal="center" vertical="center"/>
    </xf>
    <xf numFmtId="0" fontId="39" fillId="10" borderId="6" xfId="0" applyFont="1" applyFill="1" applyBorder="1" applyAlignment="1">
      <alignment horizontal="center" vertical="center"/>
    </xf>
    <xf numFmtId="0" fontId="43" fillId="10" borderId="6" xfId="0" applyFont="1" applyFill="1" applyBorder="1" applyAlignment="1">
      <alignment horizontal="left" vertical="center" wrapText="1"/>
    </xf>
    <xf numFmtId="0" fontId="42" fillId="10" borderId="6" xfId="0" applyFont="1" applyFill="1" applyBorder="1" applyAlignment="1">
      <alignment horizontal="center" vertical="center" wrapText="1"/>
    </xf>
    <xf numFmtId="0" fontId="42" fillId="21" borderId="6" xfId="0" applyFont="1" applyFill="1" applyBorder="1" applyAlignment="1">
      <alignment horizontal="center" vertical="center"/>
    </xf>
    <xf numFmtId="0" fontId="44" fillId="10" borderId="6" xfId="0" applyFont="1" applyFill="1" applyBorder="1" applyAlignment="1">
      <alignment horizontal="center" vertical="center"/>
    </xf>
    <xf numFmtId="0" fontId="34" fillId="12" borderId="6" xfId="0" applyFont="1" applyFill="1" applyBorder="1" applyAlignment="1">
      <alignment horizontal="center" vertical="center"/>
    </xf>
    <xf numFmtId="0" fontId="42" fillId="12" borderId="6" xfId="0" applyFont="1" applyFill="1" applyBorder="1" applyAlignment="1">
      <alignment horizontal="left" vertical="center" wrapText="1"/>
    </xf>
    <xf numFmtId="0" fontId="42" fillId="12" borderId="6" xfId="0" applyFont="1" applyFill="1" applyBorder="1" applyAlignment="1">
      <alignment horizontal="center" vertical="center"/>
    </xf>
    <xf numFmtId="0" fontId="39" fillId="12" borderId="6" xfId="0" applyFont="1" applyFill="1" applyBorder="1" applyAlignment="1">
      <alignment horizontal="center" vertical="center"/>
    </xf>
    <xf numFmtId="0" fontId="43" fillId="12" borderId="6" xfId="0" applyFont="1" applyFill="1" applyBorder="1" applyAlignment="1">
      <alignment horizontal="left" vertical="center" wrapText="1"/>
    </xf>
    <xf numFmtId="0" fontId="42" fillId="12" borderId="6" xfId="0" applyFont="1" applyFill="1" applyBorder="1" applyAlignment="1">
      <alignment horizontal="center" vertical="center" wrapText="1"/>
    </xf>
    <xf numFmtId="0" fontId="42" fillId="22" borderId="6" xfId="0" applyFont="1" applyFill="1" applyBorder="1" applyAlignment="1">
      <alignment horizontal="center" vertical="center"/>
    </xf>
    <xf numFmtId="0" fontId="45" fillId="12" borderId="6" xfId="0" applyFont="1" applyFill="1" applyBorder="1" applyAlignment="1">
      <alignment horizontal="center" vertical="center"/>
    </xf>
    <xf numFmtId="0" fontId="30" fillId="5" borderId="6" xfId="0" applyFont="1" applyFill="1" applyBorder="1" applyAlignment="1">
      <alignment horizontal="center" vertical="center"/>
    </xf>
    <xf numFmtId="0" fontId="46" fillId="12" borderId="6" xfId="0" applyFont="1" applyFill="1" applyBorder="1" applyAlignment="1">
      <alignment horizontal="center" vertical="center"/>
    </xf>
    <xf numFmtId="0" fontId="46" fillId="10" borderId="6" xfId="0" applyFont="1" applyFill="1" applyBorder="1" applyAlignment="1">
      <alignment horizontal="center" vertical="center"/>
    </xf>
    <xf numFmtId="0" fontId="30" fillId="11" borderId="6" xfId="0" applyFont="1" applyFill="1" applyBorder="1" applyAlignment="1">
      <alignment horizontal="center" vertical="center"/>
    </xf>
    <xf numFmtId="0" fontId="44" fillId="12" borderId="6" xfId="0" applyFont="1" applyFill="1" applyBorder="1" applyAlignment="1">
      <alignment horizontal="center" vertical="center"/>
    </xf>
    <xf numFmtId="0" fontId="45" fillId="10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65" fontId="48" fillId="10" borderId="6" xfId="0" applyNumberFormat="1" applyFont="1" applyFill="1" applyBorder="1" applyAlignment="1">
      <alignment horizontal="center" vertical="center"/>
    </xf>
    <xf numFmtId="0" fontId="0" fillId="10" borderId="6" xfId="0" applyFill="1" applyBorder="1"/>
    <xf numFmtId="165" fontId="48" fillId="12" borderId="6" xfId="0" applyNumberFormat="1" applyFont="1" applyFill="1" applyBorder="1" applyAlignment="1">
      <alignment horizontal="center" vertical="center"/>
    </xf>
    <xf numFmtId="0" fontId="0" fillId="12" borderId="6" xfId="0" applyFill="1" applyBorder="1"/>
    <xf numFmtId="165" fontId="30" fillId="26" borderId="6" xfId="0" applyNumberFormat="1" applyFont="1" applyFill="1" applyBorder="1" applyAlignment="1">
      <alignment horizontal="center" vertical="center"/>
    </xf>
    <xf numFmtId="0" fontId="0" fillId="26" borderId="6" xfId="0" applyFill="1" applyBorder="1"/>
    <xf numFmtId="165" fontId="3" fillId="2" borderId="6" xfId="0" applyNumberFormat="1" applyFont="1" applyFill="1" applyBorder="1" applyAlignment="1">
      <alignment horizontal="center" vertical="center"/>
    </xf>
    <xf numFmtId="0" fontId="0" fillId="2" borderId="6" xfId="0" applyFill="1" applyBorder="1"/>
    <xf numFmtId="0" fontId="3" fillId="4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center" vertical="center"/>
    </xf>
    <xf numFmtId="0" fontId="8" fillId="20" borderId="1" xfId="0" applyFont="1" applyFill="1" applyBorder="1" applyAlignment="1">
      <alignment horizontal="left" vertical="center" indent="1"/>
    </xf>
    <xf numFmtId="0" fontId="8" fillId="15" borderId="1" xfId="0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left" vertical="center" indent="1"/>
    </xf>
    <xf numFmtId="0" fontId="8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left" vertical="center" indent="1"/>
    </xf>
    <xf numFmtId="0" fontId="8" fillId="30" borderId="1" xfId="0" applyFont="1" applyFill="1" applyBorder="1" applyAlignment="1">
      <alignment horizontal="center" vertical="center"/>
    </xf>
    <xf numFmtId="0" fontId="8" fillId="30" borderId="1" xfId="0" applyFont="1" applyFill="1" applyBorder="1" applyAlignment="1">
      <alignment horizontal="left" vertical="center" indent="1"/>
    </xf>
    <xf numFmtId="0" fontId="8" fillId="23" borderId="1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horizontal="left" vertical="center" indent="1"/>
    </xf>
    <xf numFmtId="0" fontId="50" fillId="20" borderId="1" xfId="0" applyFont="1" applyFill="1" applyBorder="1" applyAlignment="1">
      <alignment horizontal="center" vertical="center"/>
    </xf>
    <xf numFmtId="0" fontId="50" fillId="15" borderId="1" xfId="0" applyFont="1" applyFill="1" applyBorder="1" applyAlignment="1">
      <alignment horizontal="center" vertical="center"/>
    </xf>
    <xf numFmtId="0" fontId="50" fillId="21" borderId="1" xfId="0" applyFont="1" applyFill="1" applyBorder="1" applyAlignment="1">
      <alignment horizontal="center" vertical="center"/>
    </xf>
    <xf numFmtId="0" fontId="50" fillId="30" borderId="1" xfId="0" applyFont="1" applyFill="1" applyBorder="1" applyAlignment="1">
      <alignment horizontal="center" vertical="center"/>
    </xf>
    <xf numFmtId="0" fontId="50" fillId="23" borderId="1" xfId="0" applyFont="1" applyFill="1" applyBorder="1" applyAlignment="1">
      <alignment horizontal="center" vertical="center"/>
    </xf>
    <xf numFmtId="0" fontId="30" fillId="17" borderId="0" xfId="0" applyFont="1" applyFill="1" applyAlignment="1">
      <alignment horizontal="center" vertical="center" wrapText="1"/>
    </xf>
    <xf numFmtId="0" fontId="51" fillId="31" borderId="2" xfId="0" applyFont="1" applyFill="1" applyBorder="1" applyAlignment="1">
      <alignment horizontal="center" vertical="center" wrapText="1"/>
    </xf>
    <xf numFmtId="0" fontId="3" fillId="32" borderId="2" xfId="0" applyFont="1" applyFill="1" applyBorder="1" applyAlignment="1">
      <alignment horizontal="center" vertical="center" wrapText="1"/>
    </xf>
    <xf numFmtId="0" fontId="3" fillId="33" borderId="2" xfId="0" applyFont="1" applyFill="1" applyBorder="1" applyAlignment="1">
      <alignment horizontal="center" vertical="center" wrapText="1"/>
    </xf>
    <xf numFmtId="0" fontId="3" fillId="34" borderId="2" xfId="0" applyFont="1" applyFill="1" applyBorder="1" applyAlignment="1">
      <alignment horizontal="center" vertical="center" wrapText="1"/>
    </xf>
    <xf numFmtId="0" fontId="3" fillId="35" borderId="2" xfId="0" applyFont="1" applyFill="1" applyBorder="1" applyAlignment="1">
      <alignment horizontal="center" vertical="center" wrapText="1"/>
    </xf>
    <xf numFmtId="0" fontId="3" fillId="33" borderId="0" xfId="0" applyFont="1" applyFill="1" applyAlignment="1">
      <alignment horizontal="center" vertical="center"/>
    </xf>
    <xf numFmtId="0" fontId="3" fillId="32" borderId="0" xfId="0" applyFont="1" applyFill="1" applyAlignment="1">
      <alignment horizontal="center" vertical="center"/>
    </xf>
    <xf numFmtId="0" fontId="51" fillId="31" borderId="0" xfId="0" applyFont="1" applyFill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17" fillId="31" borderId="2" xfId="0" applyFont="1" applyFill="1" applyBorder="1" applyAlignment="1">
      <alignment horizontal="center" vertical="center" wrapText="1"/>
    </xf>
    <xf numFmtId="0" fontId="54" fillId="32" borderId="2" xfId="0" applyFont="1" applyFill="1" applyBorder="1" applyAlignment="1">
      <alignment horizontal="center" vertical="center" wrapText="1"/>
    </xf>
    <xf numFmtId="0" fontId="30" fillId="33" borderId="2" xfId="0" applyFont="1" applyFill="1" applyBorder="1" applyAlignment="1">
      <alignment horizontal="center" vertical="center" wrapText="1"/>
    </xf>
    <xf numFmtId="0" fontId="54" fillId="33" borderId="2" xfId="0" applyFont="1" applyFill="1" applyBorder="1" applyAlignment="1">
      <alignment horizontal="center" vertical="center" wrapText="1"/>
    </xf>
    <xf numFmtId="0" fontId="17" fillId="18" borderId="2" xfId="0" applyFont="1" applyFill="1" applyBorder="1" applyAlignment="1">
      <alignment horizontal="left" vertical="center" wrapText="1"/>
    </xf>
    <xf numFmtId="0" fontId="54" fillId="34" borderId="2" xfId="0" applyFont="1" applyFill="1" applyBorder="1" applyAlignment="1">
      <alignment horizontal="center" vertical="center" wrapText="1"/>
    </xf>
    <xf numFmtId="0" fontId="30" fillId="32" borderId="2" xfId="0" applyFont="1" applyFill="1" applyBorder="1" applyAlignment="1">
      <alignment horizontal="center" vertical="center" wrapText="1"/>
    </xf>
    <xf numFmtId="0" fontId="54" fillId="35" borderId="2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50" fillId="9" borderId="1" xfId="0" applyFont="1" applyFill="1" applyBorder="1" applyAlignment="1">
      <alignment horizontal="left" vertical="center" indent="1"/>
    </xf>
    <xf numFmtId="0" fontId="55" fillId="3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50" fillId="10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8" fillId="12" borderId="0" xfId="0" applyFont="1" applyFill="1" applyBorder="1" applyAlignment="1">
      <alignment horizontal="left" vertical="center" indent="1"/>
    </xf>
    <xf numFmtId="0" fontId="5" fillId="13" borderId="0" xfId="0" applyFont="1" applyFill="1" applyBorder="1" applyAlignment="1">
      <alignment horizontal="center" vertical="center"/>
    </xf>
    <xf numFmtId="0" fontId="5" fillId="14" borderId="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left" vertical="center" indent="1"/>
    </xf>
    <xf numFmtId="0" fontId="4" fillId="16" borderId="0" xfId="0" applyFont="1" applyFill="1" applyBorder="1" applyAlignment="1">
      <alignment horizontal="center" vertical="center"/>
    </xf>
    <xf numFmtId="0" fontId="15" fillId="17" borderId="0" xfId="0" applyFont="1" applyFill="1" applyBorder="1" applyAlignment="1">
      <alignment horizontal="center" vertical="center"/>
    </xf>
    <xf numFmtId="0" fontId="3" fillId="16" borderId="0" xfId="0" applyFont="1" applyFill="1" applyBorder="1" applyAlignment="1">
      <alignment horizontal="left" vertical="center"/>
    </xf>
    <xf numFmtId="0" fontId="3" fillId="16" borderId="0" xfId="0" applyFont="1" applyFill="1" applyBorder="1" applyAlignment="1">
      <alignment horizontal="right" vertical="center"/>
    </xf>
    <xf numFmtId="0" fontId="27" fillId="23" borderId="1" xfId="0" applyFont="1" applyFill="1" applyBorder="1" applyAlignment="1">
      <alignment horizontal="left" vertical="center" indent="1"/>
    </xf>
    <xf numFmtId="0" fontId="13" fillId="12" borderId="1" xfId="0" applyFont="1" applyFill="1" applyBorder="1" applyAlignment="1">
      <alignment horizontal="left" vertical="center" indent="1"/>
    </xf>
    <xf numFmtId="0" fontId="25" fillId="22" borderId="1" xfId="0" applyFont="1" applyFill="1" applyBorder="1" applyAlignment="1">
      <alignment horizontal="left" vertical="center" indent="1"/>
    </xf>
    <xf numFmtId="0" fontId="13" fillId="10" borderId="1" xfId="0" applyFont="1" applyFill="1" applyBorder="1" applyAlignment="1">
      <alignment horizontal="left" vertical="center" indent="1"/>
    </xf>
    <xf numFmtId="0" fontId="23" fillId="21" borderId="1" xfId="0" applyFont="1" applyFill="1" applyBorder="1" applyAlignment="1">
      <alignment horizontal="left" vertical="center" indent="1"/>
    </xf>
    <xf numFmtId="0" fontId="21" fillId="20" borderId="1" xfId="0" applyFont="1" applyFill="1" applyBorder="1" applyAlignment="1">
      <alignment horizontal="left" vertical="center" indent="1"/>
    </xf>
    <xf numFmtId="0" fontId="19" fillId="19" borderId="1" xfId="0" applyFont="1" applyFill="1" applyBorder="1" applyAlignment="1">
      <alignment horizontal="left" vertical="center" indent="1"/>
    </xf>
    <xf numFmtId="0" fontId="5" fillId="17" borderId="0" xfId="0" applyFont="1" applyFill="1" applyBorder="1" applyAlignment="1">
      <alignment horizontal="left" vertical="center"/>
    </xf>
    <xf numFmtId="0" fontId="18" fillId="10" borderId="3" xfId="0" applyFont="1" applyFill="1" applyBorder="1" applyAlignment="1">
      <alignment horizontal="left" vertical="center"/>
    </xf>
    <xf numFmtId="0" fontId="0" fillId="24" borderId="3" xfId="0" applyFill="1" applyBorder="1" applyAlignment="1"/>
    <xf numFmtId="0" fontId="31" fillId="16" borderId="3" xfId="0" applyFont="1" applyFill="1" applyBorder="1" applyAlignment="1">
      <alignment horizontal="center" vertical="center"/>
    </xf>
    <xf numFmtId="0" fontId="32" fillId="16" borderId="3" xfId="0" applyFont="1" applyFill="1" applyBorder="1" applyAlignment="1">
      <alignment horizontal="center" vertical="center"/>
    </xf>
    <xf numFmtId="0" fontId="0" fillId="10" borderId="3" xfId="0" applyFill="1" applyBorder="1" applyAlignment="1"/>
    <xf numFmtId="0" fontId="3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1" fillId="2" borderId="0" xfId="0" applyFont="1" applyFill="1" applyBorder="1" applyAlignment="1">
      <alignment horizontal="center" vertical="center"/>
    </xf>
    <xf numFmtId="0" fontId="3" fillId="26" borderId="5" xfId="0" applyFont="1" applyFill="1" applyBorder="1" applyAlignment="1">
      <alignment horizontal="left" vertical="center"/>
    </xf>
    <xf numFmtId="0" fontId="47" fillId="12" borderId="0" xfId="0" applyFont="1" applyFill="1" applyBorder="1" applyAlignment="1">
      <alignment horizontal="left" vertical="center"/>
    </xf>
    <xf numFmtId="0" fontId="30" fillId="26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49" fillId="29" borderId="5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3" fillId="16" borderId="0" xfId="0" applyFont="1" applyFill="1" applyBorder="1" applyAlignment="1">
      <alignment horizontal="center" vertical="center" wrapText="1"/>
    </xf>
    <xf numFmtId="0" fontId="30" fillId="17" borderId="0" xfId="0" applyFont="1" applyFill="1" applyBorder="1" applyAlignment="1">
      <alignment horizontal="center" vertical="center" wrapText="1"/>
    </xf>
    <xf numFmtId="0" fontId="5" fillId="16" borderId="0" xfId="0" applyFont="1" applyFill="1" applyBorder="1" applyAlignment="1">
      <alignment horizontal="center" vertical="center"/>
    </xf>
    <xf numFmtId="0" fontId="52" fillId="33" borderId="0" xfId="0" applyFont="1" applyFill="1" applyBorder="1" applyAlignment="1">
      <alignment horizontal="left" vertical="center" wrapText="1"/>
    </xf>
    <xf numFmtId="0" fontId="52" fillId="32" borderId="0" xfId="0" applyFont="1" applyFill="1" applyBorder="1" applyAlignment="1">
      <alignment horizontal="left" vertical="center" wrapText="1"/>
    </xf>
    <xf numFmtId="0" fontId="53" fillId="31" borderId="0" xfId="0" applyFont="1" applyFill="1" applyBorder="1" applyAlignment="1">
      <alignment horizontal="left" vertical="center" wrapText="1"/>
    </xf>
    <xf numFmtId="0" fontId="52" fillId="34" borderId="0" xfId="0" applyFont="1" applyFill="1" applyBorder="1" applyAlignment="1">
      <alignment horizontal="left" vertical="center" wrapText="1"/>
    </xf>
    <xf numFmtId="0" fontId="52" fillId="35" borderId="0" xfId="0" applyFont="1" applyFill="1" applyBorder="1" applyAlignment="1">
      <alignment horizontal="left" vertical="center" wrapText="1"/>
    </xf>
    <xf numFmtId="0" fontId="3" fillId="33" borderId="0" xfId="0" applyFont="1" applyFill="1" applyBorder="1" applyAlignment="1">
      <alignment horizontal="center" vertical="center"/>
    </xf>
    <xf numFmtId="0" fontId="3" fillId="32" borderId="0" xfId="0" applyFont="1" applyFill="1" applyBorder="1" applyAlignment="1">
      <alignment horizontal="center" vertical="center"/>
    </xf>
    <xf numFmtId="0" fontId="51" fillId="31" borderId="0" xfId="0" applyFont="1" applyFill="1" applyBorder="1" applyAlignment="1">
      <alignment horizontal="center" vertical="center"/>
    </xf>
    <xf numFmtId="0" fontId="3" fillId="34" borderId="0" xfId="0" applyFont="1" applyFill="1" applyBorder="1" applyAlignment="1">
      <alignment horizontal="center" vertical="center"/>
    </xf>
    <xf numFmtId="0" fontId="3" fillId="35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FE5CC"/>
      <rgbColor rgb="FF0000FF"/>
      <rgbColor rgb="FFFFD966"/>
      <rgbColor rgb="FFFF00FF"/>
      <rgbColor rgb="FFF2F5F7"/>
      <rgbColor rgb="FF9C0006"/>
      <rgbColor rgb="FF1F5C1A"/>
      <rgbColor rgb="FF00008B"/>
      <rgbColor rgb="FF7F6000"/>
      <rgbColor rgb="FF800080"/>
      <rgbColor rgb="FF2980B9"/>
      <rgbColor rgb="FFBFBFBF"/>
      <rgbColor rgb="FF808080"/>
      <rgbColor rgb="FFC8A84B"/>
      <rgbColor rgb="FFC0392B"/>
      <rgbColor rgb="FFFFF9C4"/>
      <rgbColor rgb="FFDDEEFF"/>
      <rgbColor rgb="FF375623"/>
      <rgbColor rgb="FFED7D31"/>
      <rgbColor rgb="FF2E75B6"/>
      <rgbColor rgb="FFBDD7EE"/>
      <rgbColor rgb="FF243F60"/>
      <rgbColor rgb="FFFF00FF"/>
      <rgbColor rgb="FFF1C40F"/>
      <rgbColor rgb="FFF7F9FC"/>
      <rgbColor rgb="FF800080"/>
      <rgbColor rgb="FFC00000"/>
      <rgbColor rgb="FF4A5568"/>
      <rgbColor rgb="FF0000FF"/>
      <rgbColor rgb="FFFCE4D6"/>
      <rgbColor rgb="FFDEEAF1"/>
      <rgbColor rgb="FFE2EFDA"/>
      <rgbColor rgb="FFFFF2CC"/>
      <rgbColor rgb="FFCCCCCC"/>
      <rgbColor rgb="FFFFC7CE"/>
      <rgbColor rgb="FFD9DEE3"/>
      <rgbColor rgb="FFFFCCCC"/>
      <rgbColor rgb="FF4472C4"/>
      <rgbColor rgb="FFF2F2F2"/>
      <rgbColor rgb="FF92D050"/>
      <rgbColor rgb="FFFFC000"/>
      <rgbColor rgb="FFE67E22"/>
      <rgbColor rgb="FFE26B0A"/>
      <rgbColor rgb="FF595959"/>
      <rgbColor rgb="FF70AD47"/>
      <rgbColor rgb="FF1F3864"/>
      <rgbColor rgb="FF27AE60"/>
      <rgbColor rgb="FF1A3C4E"/>
      <rgbColor rgb="FF404040"/>
      <rgbColor rgb="FF7B2C2C"/>
      <rgbColor rgb="FFC55A11"/>
      <rgbColor rgb="FF1F497D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L24"/>
  <sheetViews>
    <sheetView showGridLines="0" zoomScaleNormal="100" workbookViewId="0"/>
  </sheetViews>
  <sheetFormatPr defaultColWidth="8.7109375" defaultRowHeight="15" x14ac:dyDescent="0.25"/>
  <cols>
    <col min="1" max="1" width="2" style="15" customWidth="1"/>
    <col min="2" max="12" width="14" style="15" customWidth="1"/>
  </cols>
  <sheetData>
    <row r="1" spans="2:12" ht="21.75" customHeight="1" x14ac:dyDescent="0.25"/>
    <row r="2" spans="2:12" ht="21.75" customHeight="1" x14ac:dyDescent="0.25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2:12" ht="21.75" customHeight="1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2:12" ht="21.75" customHeight="1" x14ac:dyDescent="0.25"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2:12" ht="21.75" customHeight="1" x14ac:dyDescent="0.25">
      <c r="B5" s="13" t="s">
        <v>1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6" spans="2:12" ht="21.75" customHeight="1" x14ac:dyDescent="0.25"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</row>
    <row r="7" spans="2:12" ht="21.75" customHeight="1" x14ac:dyDescent="0.25"/>
    <row r="8" spans="2:12" ht="21.75" customHeight="1" x14ac:dyDescent="0.25">
      <c r="B8" s="12" t="s">
        <v>2</v>
      </c>
      <c r="C8" s="12"/>
      <c r="D8" s="12" t="s">
        <v>3</v>
      </c>
      <c r="E8" s="12"/>
      <c r="F8" s="12" t="s">
        <v>4</v>
      </c>
      <c r="G8" s="12"/>
      <c r="H8" s="12" t="s">
        <v>5</v>
      </c>
      <c r="I8" s="12"/>
      <c r="J8" s="12" t="s">
        <v>6</v>
      </c>
      <c r="K8" s="12"/>
    </row>
    <row r="9" spans="2:12" ht="21.75" customHeight="1" x14ac:dyDescent="0.25">
      <c r="B9" s="11" t="s">
        <v>7</v>
      </c>
      <c r="C9" s="11"/>
      <c r="D9" s="10" t="s">
        <v>8</v>
      </c>
      <c r="E9" s="10"/>
      <c r="F9" s="9" t="s">
        <v>9</v>
      </c>
      <c r="G9" s="9"/>
      <c r="H9" s="8" t="s">
        <v>10</v>
      </c>
      <c r="I9" s="8"/>
      <c r="J9" s="7" t="s">
        <v>11</v>
      </c>
      <c r="K9" s="7"/>
    </row>
    <row r="10" spans="2:12" ht="21.75" customHeight="1" x14ac:dyDescent="0.25"/>
    <row r="11" spans="2:12" ht="21.75" customHeight="1" x14ac:dyDescent="0.25">
      <c r="B11" s="6" t="s">
        <v>12</v>
      </c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2:12" ht="21.75" customHeight="1" x14ac:dyDescent="0.25">
      <c r="B12" s="5" t="s">
        <v>13</v>
      </c>
      <c r="C12" s="5"/>
      <c r="D12" s="5"/>
      <c r="E12" s="4" t="s">
        <v>14</v>
      </c>
      <c r="F12" s="4"/>
      <c r="G12" s="4"/>
      <c r="H12" s="4"/>
      <c r="I12" s="4"/>
      <c r="J12" s="4"/>
      <c r="K12" s="4"/>
      <c r="L12" s="4"/>
    </row>
    <row r="13" spans="2:12" ht="21.75" customHeight="1" x14ac:dyDescent="0.25">
      <c r="B13" s="3" t="s">
        <v>15</v>
      </c>
      <c r="C13" s="3"/>
      <c r="D13" s="3"/>
      <c r="E13" s="2" t="s">
        <v>16</v>
      </c>
      <c r="F13" s="2"/>
      <c r="G13" s="2"/>
      <c r="H13" s="2"/>
      <c r="I13" s="2"/>
      <c r="J13" s="2"/>
      <c r="K13" s="2"/>
      <c r="L13" s="2"/>
    </row>
    <row r="14" spans="2:12" ht="21.75" customHeight="1" x14ac:dyDescent="0.25">
      <c r="B14" s="5" t="s">
        <v>17</v>
      </c>
      <c r="C14" s="5"/>
      <c r="D14" s="5"/>
      <c r="E14" s="4" t="s">
        <v>18</v>
      </c>
      <c r="F14" s="4"/>
      <c r="G14" s="4"/>
      <c r="H14" s="4"/>
      <c r="I14" s="4"/>
      <c r="J14" s="4"/>
      <c r="K14" s="4"/>
      <c r="L14" s="4"/>
    </row>
    <row r="15" spans="2:12" ht="21.75" customHeight="1" x14ac:dyDescent="0.25">
      <c r="B15" s="3" t="s">
        <v>19</v>
      </c>
      <c r="C15" s="3"/>
      <c r="D15" s="3"/>
      <c r="E15" s="2" t="s">
        <v>20</v>
      </c>
      <c r="F15" s="2"/>
      <c r="G15" s="2"/>
      <c r="H15" s="2"/>
      <c r="I15" s="2"/>
      <c r="J15" s="2"/>
      <c r="K15" s="2"/>
      <c r="L15" s="2"/>
    </row>
    <row r="16" spans="2:12" ht="21.75" customHeight="1" x14ac:dyDescent="0.25">
      <c r="B16" s="5" t="s">
        <v>21</v>
      </c>
      <c r="C16" s="5"/>
      <c r="D16" s="5"/>
      <c r="E16" s="4" t="s">
        <v>22</v>
      </c>
      <c r="F16" s="4"/>
      <c r="G16" s="4"/>
      <c r="H16" s="4"/>
      <c r="I16" s="4"/>
      <c r="J16" s="4"/>
      <c r="K16" s="4"/>
      <c r="L16" s="4"/>
    </row>
    <row r="17" spans="2:12" ht="21.75" customHeight="1" x14ac:dyDescent="0.25">
      <c r="B17" s="3" t="s">
        <v>23</v>
      </c>
      <c r="C17" s="3"/>
      <c r="D17" s="3"/>
      <c r="E17" s="2" t="s">
        <v>24</v>
      </c>
      <c r="F17" s="2"/>
      <c r="G17" s="2"/>
      <c r="H17" s="2"/>
      <c r="I17" s="2"/>
      <c r="J17" s="2"/>
      <c r="K17" s="2"/>
      <c r="L17" s="2"/>
    </row>
    <row r="18" spans="2:12" ht="21.75" customHeight="1" x14ac:dyDescent="0.25"/>
    <row r="19" spans="2:12" ht="21.75" customHeight="1" x14ac:dyDescent="0.25">
      <c r="B19" s="6" t="s">
        <v>25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2:12" ht="21.75" customHeight="1" x14ac:dyDescent="0.25">
      <c r="B20" s="1" t="s">
        <v>26</v>
      </c>
      <c r="C20" s="1"/>
      <c r="D20" s="1"/>
      <c r="E20" s="165" t="s">
        <v>27</v>
      </c>
      <c r="F20" s="165"/>
      <c r="G20" s="165"/>
      <c r="H20" s="165"/>
      <c r="I20" s="165"/>
      <c r="J20" s="165"/>
      <c r="K20" s="165"/>
      <c r="L20" s="165"/>
    </row>
    <row r="21" spans="2:12" ht="21.75" customHeight="1" x14ac:dyDescent="0.25">
      <c r="B21" s="166" t="s">
        <v>28</v>
      </c>
      <c r="C21" s="166"/>
      <c r="D21" s="166"/>
      <c r="E21" s="165" t="s">
        <v>29</v>
      </c>
      <c r="F21" s="165"/>
      <c r="G21" s="165"/>
      <c r="H21" s="165"/>
      <c r="I21" s="165"/>
      <c r="J21" s="165"/>
      <c r="K21" s="165"/>
      <c r="L21" s="165"/>
    </row>
    <row r="22" spans="2:12" ht="21.75" customHeight="1" x14ac:dyDescent="0.25">
      <c r="B22" s="167" t="s">
        <v>30</v>
      </c>
      <c r="C22" s="167"/>
      <c r="D22" s="167"/>
      <c r="E22" s="165" t="s">
        <v>31</v>
      </c>
      <c r="F22" s="165"/>
      <c r="G22" s="165"/>
      <c r="H22" s="165"/>
      <c r="I22" s="165"/>
      <c r="J22" s="165"/>
      <c r="K22" s="165"/>
      <c r="L22" s="165"/>
    </row>
    <row r="23" spans="2:12" ht="21.75" customHeight="1" x14ac:dyDescent="0.25"/>
    <row r="24" spans="2:12" ht="21.75" customHeight="1" x14ac:dyDescent="0.25"/>
  </sheetData>
  <mergeCells count="32">
    <mergeCell ref="B21:D21"/>
    <mergeCell ref="E21:L21"/>
    <mergeCell ref="B22:D22"/>
    <mergeCell ref="E22:L22"/>
    <mergeCell ref="B17:D17"/>
    <mergeCell ref="E17:L17"/>
    <mergeCell ref="B19:L19"/>
    <mergeCell ref="B20:D20"/>
    <mergeCell ref="E20:L20"/>
    <mergeCell ref="B14:D14"/>
    <mergeCell ref="E14:L14"/>
    <mergeCell ref="B15:D15"/>
    <mergeCell ref="E15:L15"/>
    <mergeCell ref="B16:D16"/>
    <mergeCell ref="E16:L16"/>
    <mergeCell ref="B11:L11"/>
    <mergeCell ref="B12:D12"/>
    <mergeCell ref="E12:L12"/>
    <mergeCell ref="B13:D13"/>
    <mergeCell ref="E13:L13"/>
    <mergeCell ref="B9:C9"/>
    <mergeCell ref="D9:E9"/>
    <mergeCell ref="F9:G9"/>
    <mergeCell ref="H9:I9"/>
    <mergeCell ref="J9:K9"/>
    <mergeCell ref="B2:L4"/>
    <mergeCell ref="B5:L6"/>
    <mergeCell ref="B8:C8"/>
    <mergeCell ref="D8:E8"/>
    <mergeCell ref="F8:G8"/>
    <mergeCell ref="H8:I8"/>
    <mergeCell ref="J8:K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C14"/>
  <sheetViews>
    <sheetView showGridLines="0" zoomScaleNormal="100" workbookViewId="0">
      <selection activeCell="C16" sqref="C16"/>
    </sheetView>
  </sheetViews>
  <sheetFormatPr defaultColWidth="3" defaultRowHeight="15" x14ac:dyDescent="0.25"/>
  <cols>
    <col min="1" max="1" width="3" style="16"/>
    <col min="2" max="2" width="30" style="16" customWidth="1"/>
    <col min="3" max="3" width="45" style="16" customWidth="1"/>
    <col min="4" max="16384" width="3" style="16"/>
  </cols>
  <sheetData>
    <row r="1" spans="1:3" ht="34.5" customHeight="1" x14ac:dyDescent="0.25">
      <c r="A1" s="17"/>
      <c r="B1" s="168" t="s">
        <v>32</v>
      </c>
      <c r="C1" s="168"/>
    </row>
    <row r="2" spans="1:3" ht="19.5" customHeight="1" x14ac:dyDescent="0.25">
      <c r="A2" s="17"/>
      <c r="B2" s="169" t="s">
        <v>33</v>
      </c>
      <c r="C2" s="169"/>
    </row>
    <row r="3" spans="1:3" ht="7.5" customHeight="1" x14ac:dyDescent="0.25">
      <c r="A3" s="17"/>
      <c r="B3" s="17"/>
    </row>
    <row r="4" spans="1:3" ht="21.75" customHeight="1" x14ac:dyDescent="0.25">
      <c r="A4" s="17"/>
      <c r="B4" s="18" t="s">
        <v>34</v>
      </c>
      <c r="C4" s="18" t="s">
        <v>35</v>
      </c>
    </row>
    <row r="5" spans="1:3" ht="21.75" customHeight="1" x14ac:dyDescent="0.25">
      <c r="A5" s="17"/>
      <c r="B5" s="19" t="s">
        <v>36</v>
      </c>
      <c r="C5" s="20" t="s">
        <v>37</v>
      </c>
    </row>
    <row r="6" spans="1:3" ht="21.75" customHeight="1" x14ac:dyDescent="0.25">
      <c r="A6" s="17"/>
      <c r="B6" s="21" t="s">
        <v>38</v>
      </c>
      <c r="C6" s="22" t="s">
        <v>39</v>
      </c>
    </row>
    <row r="7" spans="1:3" ht="21.75" customHeight="1" x14ac:dyDescent="0.25">
      <c r="A7" s="17"/>
      <c r="B7" s="23" t="s">
        <v>40</v>
      </c>
      <c r="C7" s="20" t="s">
        <v>41</v>
      </c>
    </row>
    <row r="8" spans="1:3" ht="21.75" customHeight="1" x14ac:dyDescent="0.25">
      <c r="A8" s="17"/>
      <c r="B8" s="21" t="s">
        <v>42</v>
      </c>
      <c r="C8" s="24" t="s">
        <v>43</v>
      </c>
    </row>
    <row r="9" spans="1:3" ht="21.75" customHeight="1" x14ac:dyDescent="0.25">
      <c r="A9" s="17"/>
      <c r="B9" s="19" t="s">
        <v>44</v>
      </c>
      <c r="C9" s="25" t="s">
        <v>45</v>
      </c>
    </row>
    <row r="10" spans="1:3" ht="21.75" customHeight="1" x14ac:dyDescent="0.25">
      <c r="B10" s="21" t="s">
        <v>46</v>
      </c>
      <c r="C10" s="24" t="s">
        <v>47</v>
      </c>
    </row>
    <row r="11" spans="1:3" ht="21.75" customHeight="1" x14ac:dyDescent="0.25">
      <c r="B11" s="19" t="s">
        <v>48</v>
      </c>
      <c r="C11" s="25" t="s">
        <v>49</v>
      </c>
    </row>
    <row r="12" spans="1:3" ht="21.75" customHeight="1" x14ac:dyDescent="0.25">
      <c r="B12" s="21" t="s">
        <v>50</v>
      </c>
      <c r="C12" s="24" t="s">
        <v>51</v>
      </c>
    </row>
    <row r="13" spans="1:3" ht="7.5" customHeight="1" x14ac:dyDescent="0.25"/>
    <row r="14" spans="1:3" ht="19.5" customHeight="1" x14ac:dyDescent="0.25">
      <c r="B14" s="170" t="s">
        <v>52</v>
      </c>
      <c r="C14" s="170"/>
    </row>
  </sheetData>
  <mergeCells count="3">
    <mergeCell ref="B1:C1"/>
    <mergeCell ref="B2:C2"/>
    <mergeCell ref="B14:C14"/>
  </mergeCells>
  <conditionalFormatting sqref="A1:B1">
    <cfRule type="top10" dxfId="0" priority="2" rank="10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5"/>
  <sheetViews>
    <sheetView topLeftCell="A4" zoomScale="145" zoomScaleNormal="145" workbookViewId="0"/>
  </sheetViews>
  <sheetFormatPr defaultColWidth="8.7109375" defaultRowHeight="15" x14ac:dyDescent="0.25"/>
  <cols>
    <col min="1" max="1" width="5" style="15" customWidth="1"/>
    <col min="2" max="2" width="36.42578125" style="15" customWidth="1"/>
    <col min="3" max="3" width="60.7109375" style="15" customWidth="1"/>
    <col min="4" max="5" width="7" style="15" customWidth="1"/>
    <col min="6" max="6" width="10" style="15" customWidth="1"/>
    <col min="7" max="7" width="30" style="15" customWidth="1"/>
  </cols>
  <sheetData>
    <row r="1" spans="1:7" ht="37.5" customHeight="1" x14ac:dyDescent="0.25">
      <c r="A1" s="171" t="s">
        <v>53</v>
      </c>
      <c r="B1" s="171"/>
      <c r="C1" s="171"/>
      <c r="D1" s="171"/>
      <c r="E1" s="171"/>
      <c r="F1" s="171"/>
      <c r="G1" s="171"/>
    </row>
    <row r="2" spans="1:7" ht="21.75" customHeight="1" x14ac:dyDescent="0.25">
      <c r="A2" s="172" t="s">
        <v>54</v>
      </c>
      <c r="B2" s="172"/>
      <c r="C2" s="172"/>
      <c r="D2" s="172"/>
      <c r="E2" s="172"/>
      <c r="F2" s="172"/>
      <c r="G2" s="172"/>
    </row>
    <row r="3" spans="1:7" ht="12" customHeight="1" x14ac:dyDescent="0.25"/>
    <row r="4" spans="1:7" ht="27.75" customHeight="1" x14ac:dyDescent="0.25">
      <c r="A4" s="26" t="s">
        <v>55</v>
      </c>
      <c r="B4" s="26" t="s">
        <v>56</v>
      </c>
      <c r="C4" s="26" t="s">
        <v>57</v>
      </c>
      <c r="D4" s="26" t="s">
        <v>58</v>
      </c>
      <c r="E4" s="26" t="s">
        <v>59</v>
      </c>
      <c r="F4" s="26" t="s">
        <v>60</v>
      </c>
      <c r="G4" s="26" t="s">
        <v>61</v>
      </c>
    </row>
    <row r="5" spans="1:7" ht="21.75" customHeight="1" x14ac:dyDescent="0.25">
      <c r="A5" s="173" t="s">
        <v>62</v>
      </c>
      <c r="B5" s="173"/>
      <c r="C5" s="173"/>
      <c r="D5" s="173"/>
      <c r="E5" s="173"/>
      <c r="F5" s="173"/>
      <c r="G5" s="173"/>
    </row>
    <row r="6" spans="1:7" ht="36" customHeight="1" x14ac:dyDescent="0.25">
      <c r="A6" s="27">
        <v>1</v>
      </c>
      <c r="B6" s="28" t="s">
        <v>63</v>
      </c>
      <c r="C6" s="29" t="s">
        <v>64</v>
      </c>
      <c r="D6" s="30"/>
      <c r="E6" s="30"/>
      <c r="F6" s="30"/>
      <c r="G6" s="30"/>
    </row>
    <row r="7" spans="1:7" ht="36" customHeight="1" x14ac:dyDescent="0.25">
      <c r="A7" s="31">
        <v>2</v>
      </c>
      <c r="B7" s="32" t="s">
        <v>63</v>
      </c>
      <c r="C7" s="33" t="s">
        <v>65</v>
      </c>
      <c r="D7" s="34"/>
      <c r="E7" s="34"/>
      <c r="F7" s="34"/>
      <c r="G7" s="34"/>
    </row>
    <row r="8" spans="1:7" ht="36" customHeight="1" x14ac:dyDescent="0.25">
      <c r="A8" s="27">
        <v>3</v>
      </c>
      <c r="B8" s="28" t="s">
        <v>63</v>
      </c>
      <c r="C8" s="29" t="s">
        <v>66</v>
      </c>
      <c r="D8" s="30"/>
      <c r="E8" s="30"/>
      <c r="F8" s="30"/>
      <c r="G8" s="30"/>
    </row>
    <row r="9" spans="1:7" ht="36" customHeight="1" x14ac:dyDescent="0.25">
      <c r="A9" s="31">
        <v>4</v>
      </c>
      <c r="B9" s="32" t="s">
        <v>63</v>
      </c>
      <c r="C9" s="33" t="s">
        <v>67</v>
      </c>
      <c r="D9" s="34"/>
      <c r="E9" s="34"/>
      <c r="F9" s="34"/>
      <c r="G9" s="34"/>
    </row>
    <row r="10" spans="1:7" ht="36" customHeight="1" x14ac:dyDescent="0.25">
      <c r="A10" s="27">
        <v>5</v>
      </c>
      <c r="B10" s="28" t="s">
        <v>63</v>
      </c>
      <c r="C10" s="29" t="s">
        <v>68</v>
      </c>
      <c r="D10" s="30"/>
      <c r="E10" s="30"/>
      <c r="F10" s="30"/>
      <c r="G10" s="30"/>
    </row>
    <row r="11" spans="1:7" ht="36" customHeight="1" x14ac:dyDescent="0.25">
      <c r="A11" s="31">
        <v>6</v>
      </c>
      <c r="B11" s="32" t="s">
        <v>63</v>
      </c>
      <c r="C11" s="33" t="s">
        <v>69</v>
      </c>
      <c r="D11" s="34"/>
      <c r="E11" s="34"/>
      <c r="F11" s="34"/>
      <c r="G11" s="34"/>
    </row>
    <row r="12" spans="1:7" ht="36" customHeight="1" x14ac:dyDescent="0.25">
      <c r="A12" s="27">
        <v>7</v>
      </c>
      <c r="B12" s="28" t="s">
        <v>63</v>
      </c>
      <c r="C12" s="29" t="s">
        <v>70</v>
      </c>
      <c r="D12" s="30"/>
      <c r="E12" s="30"/>
      <c r="F12" s="30"/>
      <c r="G12" s="30"/>
    </row>
    <row r="13" spans="1:7" ht="21.75" customHeight="1" x14ac:dyDescent="0.25">
      <c r="A13" s="173" t="s">
        <v>71</v>
      </c>
      <c r="B13" s="173"/>
      <c r="C13" s="173"/>
      <c r="D13" s="173"/>
      <c r="E13" s="173"/>
      <c r="F13" s="173"/>
      <c r="G13" s="173"/>
    </row>
    <row r="14" spans="1:7" ht="36" customHeight="1" x14ac:dyDescent="0.25">
      <c r="A14" s="31">
        <v>8</v>
      </c>
      <c r="B14" s="32" t="s">
        <v>72</v>
      </c>
      <c r="C14" s="33" t="s">
        <v>73</v>
      </c>
      <c r="D14" s="34"/>
      <c r="E14" s="34"/>
      <c r="F14" s="34"/>
      <c r="G14" s="34"/>
    </row>
    <row r="15" spans="1:7" ht="36" customHeight="1" x14ac:dyDescent="0.25">
      <c r="A15" s="27">
        <v>9</v>
      </c>
      <c r="B15" s="28" t="s">
        <v>72</v>
      </c>
      <c r="C15" s="29" t="s">
        <v>74</v>
      </c>
      <c r="D15" s="30"/>
      <c r="E15" s="30"/>
      <c r="F15" s="30"/>
      <c r="G15" s="30"/>
    </row>
    <row r="16" spans="1:7" ht="36" customHeight="1" x14ac:dyDescent="0.25">
      <c r="A16" s="31">
        <v>10</v>
      </c>
      <c r="B16" s="32" t="s">
        <v>72</v>
      </c>
      <c r="C16" s="33" t="s">
        <v>75</v>
      </c>
      <c r="D16" s="34"/>
      <c r="E16" s="34"/>
      <c r="F16" s="34"/>
      <c r="G16" s="34"/>
    </row>
    <row r="17" spans="1:7" ht="36" customHeight="1" x14ac:dyDescent="0.25">
      <c r="A17" s="27">
        <v>11</v>
      </c>
      <c r="B17" s="28" t="s">
        <v>72</v>
      </c>
      <c r="C17" s="29" t="s">
        <v>76</v>
      </c>
      <c r="D17" s="30"/>
      <c r="E17" s="30"/>
      <c r="F17" s="30"/>
      <c r="G17" s="30"/>
    </row>
    <row r="18" spans="1:7" ht="36" customHeight="1" x14ac:dyDescent="0.25">
      <c r="A18" s="31">
        <v>12</v>
      </c>
      <c r="B18" s="32" t="s">
        <v>72</v>
      </c>
      <c r="C18" s="33" t="s">
        <v>77</v>
      </c>
      <c r="D18" s="34"/>
      <c r="E18" s="34"/>
      <c r="F18" s="34"/>
      <c r="G18" s="34"/>
    </row>
    <row r="19" spans="1:7" ht="21.75" customHeight="1" x14ac:dyDescent="0.25">
      <c r="A19" s="173" t="s">
        <v>78</v>
      </c>
      <c r="B19" s="173"/>
      <c r="C19" s="173"/>
      <c r="D19" s="173"/>
      <c r="E19" s="173"/>
      <c r="F19" s="173"/>
      <c r="G19" s="173"/>
    </row>
    <row r="20" spans="1:7" ht="36" customHeight="1" x14ac:dyDescent="0.25">
      <c r="A20" s="27">
        <v>13</v>
      </c>
      <c r="B20" s="28" t="s">
        <v>79</v>
      </c>
      <c r="C20" s="29" t="s">
        <v>80</v>
      </c>
      <c r="D20" s="30"/>
      <c r="E20" s="30"/>
      <c r="F20" s="30"/>
      <c r="G20" s="30"/>
    </row>
    <row r="21" spans="1:7" ht="36" customHeight="1" x14ac:dyDescent="0.25">
      <c r="A21" s="31">
        <v>14</v>
      </c>
      <c r="B21" s="32" t="s">
        <v>79</v>
      </c>
      <c r="C21" s="33" t="s">
        <v>81</v>
      </c>
      <c r="D21" s="34"/>
      <c r="E21" s="34"/>
      <c r="F21" s="34"/>
      <c r="G21" s="34"/>
    </row>
    <row r="22" spans="1:7" ht="36" customHeight="1" x14ac:dyDescent="0.25">
      <c r="A22" s="27">
        <v>15</v>
      </c>
      <c r="B22" s="28" t="s">
        <v>79</v>
      </c>
      <c r="C22" s="29" t="s">
        <v>82</v>
      </c>
      <c r="D22" s="30"/>
      <c r="E22" s="30"/>
      <c r="F22" s="30"/>
      <c r="G22" s="30"/>
    </row>
    <row r="23" spans="1:7" ht="36" customHeight="1" x14ac:dyDescent="0.25">
      <c r="A23" s="31">
        <v>16</v>
      </c>
      <c r="B23" s="32" t="s">
        <v>79</v>
      </c>
      <c r="C23" s="33" t="s">
        <v>83</v>
      </c>
      <c r="D23" s="34"/>
      <c r="E23" s="34"/>
      <c r="F23" s="34"/>
      <c r="G23" s="34"/>
    </row>
    <row r="24" spans="1:7" ht="36" customHeight="1" x14ac:dyDescent="0.25">
      <c r="A24" s="27">
        <v>17</v>
      </c>
      <c r="B24" s="28" t="s">
        <v>79</v>
      </c>
      <c r="C24" s="29" t="s">
        <v>84</v>
      </c>
      <c r="D24" s="30"/>
      <c r="E24" s="30"/>
      <c r="F24" s="30"/>
      <c r="G24" s="30"/>
    </row>
    <row r="25" spans="1:7" ht="36" customHeight="1" x14ac:dyDescent="0.25">
      <c r="A25" s="31">
        <v>18</v>
      </c>
      <c r="B25" s="32" t="s">
        <v>79</v>
      </c>
      <c r="C25" s="33" t="s">
        <v>85</v>
      </c>
      <c r="D25" s="34"/>
      <c r="E25" s="34"/>
      <c r="F25" s="34"/>
      <c r="G25" s="34"/>
    </row>
    <row r="26" spans="1:7" ht="36" customHeight="1" x14ac:dyDescent="0.25">
      <c r="A26" s="27">
        <v>19</v>
      </c>
      <c r="B26" s="28" t="s">
        <v>79</v>
      </c>
      <c r="C26" s="29" t="s">
        <v>86</v>
      </c>
      <c r="D26" s="30"/>
      <c r="E26" s="30"/>
      <c r="F26" s="30"/>
      <c r="G26" s="30"/>
    </row>
    <row r="27" spans="1:7" ht="21.75" customHeight="1" x14ac:dyDescent="0.25">
      <c r="A27" s="173" t="s">
        <v>87</v>
      </c>
      <c r="B27" s="173"/>
      <c r="C27" s="173"/>
      <c r="D27" s="173"/>
      <c r="E27" s="173"/>
      <c r="F27" s="173"/>
      <c r="G27" s="173"/>
    </row>
    <row r="28" spans="1:7" ht="36" customHeight="1" x14ac:dyDescent="0.25">
      <c r="A28" s="31">
        <v>20</v>
      </c>
      <c r="B28" s="32" t="s">
        <v>88</v>
      </c>
      <c r="C28" s="33" t="s">
        <v>89</v>
      </c>
      <c r="D28" s="34"/>
      <c r="E28" s="34"/>
      <c r="F28" s="34"/>
      <c r="G28" s="34"/>
    </row>
    <row r="29" spans="1:7" ht="36" customHeight="1" x14ac:dyDescent="0.25">
      <c r="A29" s="27">
        <v>21</v>
      </c>
      <c r="B29" s="28" t="s">
        <v>88</v>
      </c>
      <c r="C29" s="29" t="s">
        <v>90</v>
      </c>
      <c r="D29" s="30"/>
      <c r="E29" s="30"/>
      <c r="F29" s="30"/>
      <c r="G29" s="30"/>
    </row>
    <row r="30" spans="1:7" ht="36" customHeight="1" x14ac:dyDescent="0.25">
      <c r="A30" s="31">
        <v>22</v>
      </c>
      <c r="B30" s="32" t="s">
        <v>88</v>
      </c>
      <c r="C30" s="33" t="s">
        <v>91</v>
      </c>
      <c r="D30" s="34"/>
      <c r="E30" s="34"/>
      <c r="F30" s="34"/>
      <c r="G30" s="34"/>
    </row>
    <row r="31" spans="1:7" ht="36" customHeight="1" x14ac:dyDescent="0.25">
      <c r="A31" s="27">
        <v>23</v>
      </c>
      <c r="B31" s="28" t="s">
        <v>88</v>
      </c>
      <c r="C31" s="29" t="s">
        <v>92</v>
      </c>
      <c r="D31" s="30"/>
      <c r="E31" s="30"/>
      <c r="F31" s="30"/>
      <c r="G31" s="30"/>
    </row>
    <row r="32" spans="1:7" ht="36" customHeight="1" x14ac:dyDescent="0.25">
      <c r="A32" s="31">
        <v>24</v>
      </c>
      <c r="B32" s="32" t="s">
        <v>88</v>
      </c>
      <c r="C32" s="33" t="s">
        <v>93</v>
      </c>
      <c r="D32" s="34"/>
      <c r="E32" s="34"/>
      <c r="F32" s="34"/>
      <c r="G32" s="34"/>
    </row>
    <row r="33" spans="1:7" ht="21.75" customHeight="1" x14ac:dyDescent="0.25">
      <c r="A33" s="173" t="s">
        <v>94</v>
      </c>
      <c r="B33" s="173"/>
      <c r="C33" s="173"/>
      <c r="D33" s="173"/>
      <c r="E33" s="173"/>
      <c r="F33" s="173"/>
      <c r="G33" s="173"/>
    </row>
    <row r="34" spans="1:7" ht="36" customHeight="1" x14ac:dyDescent="0.25">
      <c r="A34" s="27">
        <v>25</v>
      </c>
      <c r="B34" s="28" t="s">
        <v>95</v>
      </c>
      <c r="C34" s="29" t="s">
        <v>96</v>
      </c>
      <c r="D34" s="30"/>
      <c r="E34" s="30"/>
      <c r="F34" s="30"/>
      <c r="G34" s="30"/>
    </row>
    <row r="35" spans="1:7" ht="36" customHeight="1" x14ac:dyDescent="0.25">
      <c r="A35" s="31">
        <v>26</v>
      </c>
      <c r="B35" s="32" t="s">
        <v>95</v>
      </c>
      <c r="C35" s="33" t="s">
        <v>97</v>
      </c>
      <c r="D35" s="34"/>
      <c r="E35" s="34"/>
      <c r="F35" s="34"/>
      <c r="G35" s="34"/>
    </row>
    <row r="36" spans="1:7" ht="36" customHeight="1" x14ac:dyDescent="0.25">
      <c r="A36" s="27">
        <v>27</v>
      </c>
      <c r="B36" s="28" t="s">
        <v>95</v>
      </c>
      <c r="C36" s="29" t="s">
        <v>98</v>
      </c>
      <c r="D36" s="30"/>
      <c r="E36" s="30"/>
      <c r="F36" s="30"/>
      <c r="G36" s="30"/>
    </row>
    <row r="37" spans="1:7" ht="36" customHeight="1" x14ac:dyDescent="0.25">
      <c r="A37" s="31">
        <v>28</v>
      </c>
      <c r="B37" s="32" t="s">
        <v>95</v>
      </c>
      <c r="C37" s="33" t="s">
        <v>99</v>
      </c>
      <c r="D37" s="34"/>
      <c r="E37" s="34"/>
      <c r="F37" s="34"/>
      <c r="G37" s="34"/>
    </row>
    <row r="38" spans="1:7" ht="36" customHeight="1" x14ac:dyDescent="0.25">
      <c r="A38" s="27">
        <v>29</v>
      </c>
      <c r="B38" s="28" t="s">
        <v>95</v>
      </c>
      <c r="C38" s="29" t="s">
        <v>100</v>
      </c>
      <c r="D38" s="30"/>
      <c r="E38" s="30"/>
      <c r="F38" s="30"/>
      <c r="G38" s="30"/>
    </row>
    <row r="39" spans="1:7" ht="21.75" customHeight="1" x14ac:dyDescent="0.25">
      <c r="A39" s="173" t="s">
        <v>101</v>
      </c>
      <c r="B39" s="173"/>
      <c r="C39" s="173"/>
      <c r="D39" s="173"/>
      <c r="E39" s="173"/>
      <c r="F39" s="173"/>
      <c r="G39" s="173"/>
    </row>
    <row r="40" spans="1:7" ht="36" customHeight="1" x14ac:dyDescent="0.25">
      <c r="A40" s="31">
        <v>30</v>
      </c>
      <c r="B40" s="32" t="s">
        <v>102</v>
      </c>
      <c r="C40" s="33" t="s">
        <v>103</v>
      </c>
      <c r="D40" s="34"/>
      <c r="E40" s="34"/>
      <c r="F40" s="34"/>
      <c r="G40" s="34"/>
    </row>
    <row r="41" spans="1:7" ht="36" customHeight="1" x14ac:dyDescent="0.25">
      <c r="A41" s="27">
        <v>31</v>
      </c>
      <c r="B41" s="28" t="s">
        <v>102</v>
      </c>
      <c r="C41" s="29" t="s">
        <v>104</v>
      </c>
      <c r="D41" s="30"/>
      <c r="E41" s="30"/>
      <c r="F41" s="30"/>
      <c r="G41" s="30"/>
    </row>
    <row r="42" spans="1:7" ht="36" customHeight="1" x14ac:dyDescent="0.25">
      <c r="A42" s="31">
        <v>32</v>
      </c>
      <c r="B42" s="32" t="s">
        <v>102</v>
      </c>
      <c r="C42" s="33" t="s">
        <v>105</v>
      </c>
      <c r="D42" s="34"/>
      <c r="E42" s="34"/>
      <c r="F42" s="34"/>
      <c r="G42" s="34"/>
    </row>
    <row r="43" spans="1:7" ht="36" customHeight="1" x14ac:dyDescent="0.25">
      <c r="A43" s="27">
        <v>33</v>
      </c>
      <c r="B43" s="28" t="s">
        <v>102</v>
      </c>
      <c r="C43" s="29" t="s">
        <v>106</v>
      </c>
      <c r="D43" s="30"/>
      <c r="E43" s="30"/>
      <c r="F43" s="30"/>
      <c r="G43" s="30"/>
    </row>
    <row r="44" spans="1:7" ht="21.75" customHeight="1" x14ac:dyDescent="0.25">
      <c r="A44" s="173" t="s">
        <v>107</v>
      </c>
      <c r="B44" s="173"/>
      <c r="C44" s="173"/>
      <c r="D44" s="173"/>
      <c r="E44" s="173"/>
      <c r="F44" s="173"/>
      <c r="G44" s="173"/>
    </row>
    <row r="45" spans="1:7" ht="36" customHeight="1" x14ac:dyDescent="0.25">
      <c r="A45" s="31">
        <v>34</v>
      </c>
      <c r="B45" s="32" t="s">
        <v>108</v>
      </c>
      <c r="C45" s="33" t="s">
        <v>109</v>
      </c>
      <c r="D45" s="34"/>
      <c r="E45" s="34"/>
      <c r="F45" s="34"/>
      <c r="G45" s="34"/>
    </row>
    <row r="46" spans="1:7" ht="36" customHeight="1" x14ac:dyDescent="0.25">
      <c r="A46" s="27">
        <v>35</v>
      </c>
      <c r="B46" s="28" t="s">
        <v>108</v>
      </c>
      <c r="C46" s="29" t="s">
        <v>110</v>
      </c>
      <c r="D46" s="30"/>
      <c r="E46" s="30"/>
      <c r="F46" s="30"/>
      <c r="G46" s="30"/>
    </row>
    <row r="47" spans="1:7" ht="36" customHeight="1" x14ac:dyDescent="0.25">
      <c r="A47" s="31">
        <v>36</v>
      </c>
      <c r="B47" s="32" t="s">
        <v>108</v>
      </c>
      <c r="C47" s="33" t="s">
        <v>111</v>
      </c>
      <c r="D47" s="34"/>
      <c r="E47" s="34"/>
      <c r="F47" s="34"/>
      <c r="G47" s="34"/>
    </row>
    <row r="48" spans="1:7" ht="21.75" customHeight="1" x14ac:dyDescent="0.25">
      <c r="A48" s="173" t="s">
        <v>112</v>
      </c>
      <c r="B48" s="173"/>
      <c r="C48" s="173"/>
      <c r="D48" s="173"/>
      <c r="E48" s="173"/>
      <c r="F48" s="173"/>
      <c r="G48" s="173"/>
    </row>
    <row r="49" spans="1:7" ht="36" customHeight="1" x14ac:dyDescent="0.25">
      <c r="A49" s="27">
        <v>37</v>
      </c>
      <c r="B49" s="28" t="s">
        <v>113</v>
      </c>
      <c r="C49" s="29" t="s">
        <v>114</v>
      </c>
      <c r="D49" s="30"/>
      <c r="E49" s="30"/>
      <c r="F49" s="30"/>
      <c r="G49" s="30"/>
    </row>
    <row r="50" spans="1:7" ht="36" customHeight="1" x14ac:dyDescent="0.25">
      <c r="A50" s="31">
        <v>38</v>
      </c>
      <c r="B50" s="32" t="s">
        <v>113</v>
      </c>
      <c r="C50" s="33" t="s">
        <v>115</v>
      </c>
      <c r="D50" s="34"/>
      <c r="E50" s="34"/>
      <c r="F50" s="34"/>
      <c r="G50" s="34"/>
    </row>
    <row r="51" spans="1:7" ht="36" customHeight="1" x14ac:dyDescent="0.25">
      <c r="A51" s="27">
        <v>39</v>
      </c>
      <c r="B51" s="28" t="s">
        <v>113</v>
      </c>
      <c r="C51" s="29" t="s">
        <v>116</v>
      </c>
      <c r="D51" s="30"/>
      <c r="E51" s="30"/>
      <c r="F51" s="30"/>
      <c r="G51" s="30"/>
    </row>
    <row r="52" spans="1:7" ht="36" customHeight="1" x14ac:dyDescent="0.25">
      <c r="A52" s="31">
        <v>40</v>
      </c>
      <c r="B52" s="32" t="s">
        <v>113</v>
      </c>
      <c r="C52" s="33" t="s">
        <v>117</v>
      </c>
      <c r="D52" s="34"/>
      <c r="E52" s="34"/>
      <c r="F52" s="34"/>
      <c r="G52" s="34"/>
    </row>
    <row r="53" spans="1:7" ht="21.75" customHeight="1" x14ac:dyDescent="0.25">
      <c r="A53" s="173" t="s">
        <v>118</v>
      </c>
      <c r="B53" s="173"/>
      <c r="C53" s="173"/>
      <c r="D53" s="173"/>
      <c r="E53" s="173"/>
      <c r="F53" s="173"/>
      <c r="G53" s="173"/>
    </row>
    <row r="54" spans="1:7" ht="36" customHeight="1" x14ac:dyDescent="0.25">
      <c r="A54" s="27">
        <v>41</v>
      </c>
      <c r="B54" s="28" t="s">
        <v>119</v>
      </c>
      <c r="C54" s="29" t="s">
        <v>120</v>
      </c>
      <c r="D54" s="30"/>
      <c r="E54" s="30"/>
      <c r="F54" s="30"/>
      <c r="G54" s="30"/>
    </row>
    <row r="55" spans="1:7" ht="36" customHeight="1" x14ac:dyDescent="0.25">
      <c r="A55" s="31">
        <v>42</v>
      </c>
      <c r="B55" s="32" t="s">
        <v>119</v>
      </c>
      <c r="C55" s="33" t="s">
        <v>121</v>
      </c>
      <c r="D55" s="34"/>
      <c r="E55" s="34"/>
      <c r="F55" s="34"/>
      <c r="G55" s="34"/>
    </row>
  </sheetData>
  <mergeCells count="11">
    <mergeCell ref="A53:G53"/>
    <mergeCell ref="A27:G27"/>
    <mergeCell ref="A33:G33"/>
    <mergeCell ref="A39:G39"/>
    <mergeCell ref="A44:G44"/>
    <mergeCell ref="A48:G48"/>
    <mergeCell ref="A1:G1"/>
    <mergeCell ref="A2:G2"/>
    <mergeCell ref="A5:G5"/>
    <mergeCell ref="A13:G13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5"/>
  <sheetViews>
    <sheetView rightToLeft="1" zoomScaleNormal="100" workbookViewId="0"/>
  </sheetViews>
  <sheetFormatPr defaultColWidth="8.7109375" defaultRowHeight="15" x14ac:dyDescent="0.25"/>
  <cols>
    <col min="1" max="1" width="5" style="15" customWidth="1"/>
    <col min="2" max="2" width="28" style="15" customWidth="1"/>
    <col min="3" max="3" width="60" style="15" customWidth="1"/>
    <col min="4" max="5" width="8" style="15" customWidth="1"/>
    <col min="6" max="6" width="10" style="15" customWidth="1"/>
    <col min="7" max="7" width="28" style="15" customWidth="1"/>
  </cols>
  <sheetData>
    <row r="1" spans="1:7" ht="37.5" customHeight="1" x14ac:dyDescent="0.25">
      <c r="A1" s="171" t="s">
        <v>122</v>
      </c>
      <c r="B1" s="171"/>
      <c r="C1" s="171"/>
      <c r="D1" s="171"/>
      <c r="E1" s="171"/>
      <c r="F1" s="171"/>
      <c r="G1" s="171"/>
    </row>
    <row r="2" spans="1:7" ht="21.75" customHeight="1" x14ac:dyDescent="0.25">
      <c r="A2" s="172" t="s">
        <v>123</v>
      </c>
      <c r="B2" s="172"/>
      <c r="C2" s="172"/>
      <c r="D2" s="172"/>
      <c r="E2" s="172"/>
      <c r="F2" s="172"/>
      <c r="G2" s="172"/>
    </row>
    <row r="3" spans="1:7" ht="12" customHeight="1" x14ac:dyDescent="0.25"/>
    <row r="4" spans="1:7" ht="27.75" customHeight="1" x14ac:dyDescent="0.25">
      <c r="A4" s="26" t="s">
        <v>55</v>
      </c>
      <c r="B4" s="26" t="s">
        <v>124</v>
      </c>
      <c r="C4" s="26" t="s">
        <v>125</v>
      </c>
      <c r="D4" s="26" t="s">
        <v>126</v>
      </c>
      <c r="E4" s="26" t="s">
        <v>127</v>
      </c>
      <c r="F4" s="26" t="s">
        <v>128</v>
      </c>
      <c r="G4" s="26" t="s">
        <v>129</v>
      </c>
    </row>
    <row r="5" spans="1:7" ht="21.75" customHeight="1" x14ac:dyDescent="0.25">
      <c r="A5" s="174" t="s">
        <v>130</v>
      </c>
      <c r="B5" s="174"/>
      <c r="C5" s="174"/>
      <c r="D5" s="174"/>
      <c r="E5" s="174"/>
      <c r="F5" s="174"/>
      <c r="G5" s="174"/>
    </row>
    <row r="6" spans="1:7" ht="39.75" customHeight="1" x14ac:dyDescent="0.25">
      <c r="A6" s="27">
        <v>1</v>
      </c>
      <c r="B6" s="28" t="s">
        <v>131</v>
      </c>
      <c r="C6" s="35" t="s">
        <v>132</v>
      </c>
      <c r="D6" s="30"/>
      <c r="E6" s="30"/>
      <c r="F6" s="30"/>
      <c r="G6" s="30"/>
    </row>
    <row r="7" spans="1:7" ht="39.75" customHeight="1" x14ac:dyDescent="0.25">
      <c r="A7" s="31">
        <v>2</v>
      </c>
      <c r="B7" s="32" t="s">
        <v>131</v>
      </c>
      <c r="C7" s="36" t="s">
        <v>133</v>
      </c>
      <c r="D7" s="34"/>
      <c r="E7" s="34"/>
      <c r="F7" s="34"/>
      <c r="G7" s="34"/>
    </row>
    <row r="8" spans="1:7" ht="39.75" customHeight="1" x14ac:dyDescent="0.25">
      <c r="A8" s="27">
        <v>3</v>
      </c>
      <c r="B8" s="28" t="s">
        <v>131</v>
      </c>
      <c r="C8" s="35" t="s">
        <v>134</v>
      </c>
      <c r="D8" s="30"/>
      <c r="E8" s="30"/>
      <c r="F8" s="30"/>
      <c r="G8" s="30"/>
    </row>
    <row r="9" spans="1:7" ht="39.75" customHeight="1" x14ac:dyDescent="0.25">
      <c r="A9" s="31">
        <v>4</v>
      </c>
      <c r="B9" s="32" t="s">
        <v>131</v>
      </c>
      <c r="C9" s="36" t="s">
        <v>135</v>
      </c>
      <c r="D9" s="34"/>
      <c r="E9" s="34"/>
      <c r="F9" s="34"/>
      <c r="G9" s="34"/>
    </row>
    <row r="10" spans="1:7" ht="39.75" customHeight="1" x14ac:dyDescent="0.25">
      <c r="A10" s="27">
        <v>5</v>
      </c>
      <c r="B10" s="28" t="s">
        <v>131</v>
      </c>
      <c r="C10" s="35" t="s">
        <v>136</v>
      </c>
      <c r="D10" s="30"/>
      <c r="E10" s="30"/>
      <c r="F10" s="30"/>
      <c r="G10" s="30"/>
    </row>
    <row r="11" spans="1:7" ht="39.75" customHeight="1" x14ac:dyDescent="0.25">
      <c r="A11" s="31">
        <v>6</v>
      </c>
      <c r="B11" s="32" t="s">
        <v>131</v>
      </c>
      <c r="C11" s="36" t="s">
        <v>137</v>
      </c>
      <c r="D11" s="34"/>
      <c r="E11" s="34"/>
      <c r="F11" s="34"/>
      <c r="G11" s="34"/>
    </row>
    <row r="12" spans="1:7" ht="39.75" customHeight="1" x14ac:dyDescent="0.25">
      <c r="A12" s="27">
        <v>7</v>
      </c>
      <c r="B12" s="28" t="s">
        <v>131</v>
      </c>
      <c r="C12" s="35" t="s">
        <v>138</v>
      </c>
      <c r="D12" s="30"/>
      <c r="E12" s="30"/>
      <c r="F12" s="30"/>
      <c r="G12" s="30"/>
    </row>
    <row r="13" spans="1:7" ht="21.75" customHeight="1" x14ac:dyDescent="0.25">
      <c r="A13" s="174" t="s">
        <v>139</v>
      </c>
      <c r="B13" s="174"/>
      <c r="C13" s="174"/>
      <c r="D13" s="174"/>
      <c r="E13" s="174"/>
      <c r="F13" s="174"/>
      <c r="G13" s="174"/>
    </row>
    <row r="14" spans="1:7" ht="39.75" customHeight="1" x14ac:dyDescent="0.25">
      <c r="A14" s="31">
        <v>8</v>
      </c>
      <c r="B14" s="32" t="s">
        <v>140</v>
      </c>
      <c r="C14" s="36" t="s">
        <v>141</v>
      </c>
      <c r="D14" s="34"/>
      <c r="E14" s="34"/>
      <c r="F14" s="34"/>
      <c r="G14" s="34"/>
    </row>
    <row r="15" spans="1:7" ht="39.75" customHeight="1" x14ac:dyDescent="0.25">
      <c r="A15" s="27">
        <v>9</v>
      </c>
      <c r="B15" s="28" t="s">
        <v>140</v>
      </c>
      <c r="C15" s="35" t="s">
        <v>142</v>
      </c>
      <c r="D15" s="30"/>
      <c r="E15" s="30"/>
      <c r="F15" s="30"/>
      <c r="G15" s="30"/>
    </row>
    <row r="16" spans="1:7" ht="39.75" customHeight="1" x14ac:dyDescent="0.25">
      <c r="A16" s="31">
        <v>10</v>
      </c>
      <c r="B16" s="32" t="s">
        <v>140</v>
      </c>
      <c r="C16" s="36" t="s">
        <v>143</v>
      </c>
      <c r="D16" s="34"/>
      <c r="E16" s="34"/>
      <c r="F16" s="34"/>
      <c r="G16" s="34"/>
    </row>
    <row r="17" spans="1:7" ht="39.75" customHeight="1" x14ac:dyDescent="0.25">
      <c r="A17" s="27">
        <v>11</v>
      </c>
      <c r="B17" s="28" t="s">
        <v>140</v>
      </c>
      <c r="C17" s="35" t="s">
        <v>144</v>
      </c>
      <c r="D17" s="30"/>
      <c r="E17" s="30"/>
      <c r="F17" s="30"/>
      <c r="G17" s="30"/>
    </row>
    <row r="18" spans="1:7" ht="39.75" customHeight="1" x14ac:dyDescent="0.25">
      <c r="A18" s="31">
        <v>12</v>
      </c>
      <c r="B18" s="32" t="s">
        <v>140</v>
      </c>
      <c r="C18" s="36" t="s">
        <v>145</v>
      </c>
      <c r="D18" s="34"/>
      <c r="E18" s="34"/>
      <c r="F18" s="34"/>
      <c r="G18" s="34"/>
    </row>
    <row r="19" spans="1:7" ht="21.75" customHeight="1" x14ac:dyDescent="0.25">
      <c r="A19" s="174" t="s">
        <v>146</v>
      </c>
      <c r="B19" s="174"/>
      <c r="C19" s="174"/>
      <c r="D19" s="174"/>
      <c r="E19" s="174"/>
      <c r="F19" s="174"/>
      <c r="G19" s="174"/>
    </row>
    <row r="20" spans="1:7" ht="39.75" customHeight="1" x14ac:dyDescent="0.25">
      <c r="A20" s="27">
        <v>13</v>
      </c>
      <c r="B20" s="28" t="s">
        <v>147</v>
      </c>
      <c r="C20" s="35" t="s">
        <v>148</v>
      </c>
      <c r="D20" s="30"/>
      <c r="E20" s="30"/>
      <c r="F20" s="30"/>
      <c r="G20" s="30"/>
    </row>
    <row r="21" spans="1:7" ht="39.75" customHeight="1" x14ac:dyDescent="0.25">
      <c r="A21" s="31">
        <v>14</v>
      </c>
      <c r="B21" s="32" t="s">
        <v>147</v>
      </c>
      <c r="C21" s="36" t="s">
        <v>149</v>
      </c>
      <c r="D21" s="34"/>
      <c r="E21" s="34"/>
      <c r="F21" s="34"/>
      <c r="G21" s="34"/>
    </row>
    <row r="22" spans="1:7" ht="39.75" customHeight="1" x14ac:dyDescent="0.25">
      <c r="A22" s="27">
        <v>15</v>
      </c>
      <c r="B22" s="28" t="s">
        <v>147</v>
      </c>
      <c r="C22" s="35" t="s">
        <v>150</v>
      </c>
      <c r="D22" s="30"/>
      <c r="E22" s="30"/>
      <c r="F22" s="30"/>
      <c r="G22" s="30"/>
    </row>
    <row r="23" spans="1:7" ht="39.75" customHeight="1" x14ac:dyDescent="0.25">
      <c r="A23" s="31">
        <v>16</v>
      </c>
      <c r="B23" s="32" t="s">
        <v>147</v>
      </c>
      <c r="C23" s="36" t="s">
        <v>151</v>
      </c>
      <c r="D23" s="34"/>
      <c r="E23" s="34"/>
      <c r="F23" s="34"/>
      <c r="G23" s="34"/>
    </row>
    <row r="24" spans="1:7" ht="39.75" customHeight="1" x14ac:dyDescent="0.25">
      <c r="A24" s="27">
        <v>17</v>
      </c>
      <c r="B24" s="28" t="s">
        <v>147</v>
      </c>
      <c r="C24" s="35" t="s">
        <v>152</v>
      </c>
      <c r="D24" s="30"/>
      <c r="E24" s="30"/>
      <c r="F24" s="30"/>
      <c r="G24" s="30"/>
    </row>
    <row r="25" spans="1:7" ht="39.75" customHeight="1" x14ac:dyDescent="0.25">
      <c r="A25" s="31">
        <v>18</v>
      </c>
      <c r="B25" s="32" t="s">
        <v>147</v>
      </c>
      <c r="C25" s="36" t="s">
        <v>153</v>
      </c>
      <c r="D25" s="34"/>
      <c r="E25" s="34"/>
      <c r="F25" s="34"/>
      <c r="G25" s="34"/>
    </row>
    <row r="26" spans="1:7" ht="39.75" customHeight="1" x14ac:dyDescent="0.25">
      <c r="A26" s="27">
        <v>19</v>
      </c>
      <c r="B26" s="28" t="s">
        <v>147</v>
      </c>
      <c r="C26" s="35" t="s">
        <v>154</v>
      </c>
      <c r="D26" s="30"/>
      <c r="E26" s="30"/>
      <c r="F26" s="30"/>
      <c r="G26" s="30"/>
    </row>
    <row r="27" spans="1:7" ht="21.75" customHeight="1" x14ac:dyDescent="0.25">
      <c r="A27" s="174" t="s">
        <v>155</v>
      </c>
      <c r="B27" s="174"/>
      <c r="C27" s="174"/>
      <c r="D27" s="174"/>
      <c r="E27" s="174"/>
      <c r="F27" s="174"/>
      <c r="G27" s="174"/>
    </row>
    <row r="28" spans="1:7" ht="39.75" customHeight="1" x14ac:dyDescent="0.25">
      <c r="A28" s="31">
        <v>20</v>
      </c>
      <c r="B28" s="32" t="s">
        <v>156</v>
      </c>
      <c r="C28" s="36" t="s">
        <v>157</v>
      </c>
      <c r="D28" s="34"/>
      <c r="E28" s="34"/>
      <c r="F28" s="34"/>
      <c r="G28" s="34"/>
    </row>
    <row r="29" spans="1:7" ht="39.75" customHeight="1" x14ac:dyDescent="0.25">
      <c r="A29" s="27">
        <v>21</v>
      </c>
      <c r="B29" s="28" t="s">
        <v>156</v>
      </c>
      <c r="C29" s="35" t="s">
        <v>158</v>
      </c>
      <c r="D29" s="30"/>
      <c r="E29" s="30"/>
      <c r="F29" s="30"/>
      <c r="G29" s="30"/>
    </row>
    <row r="30" spans="1:7" ht="39.75" customHeight="1" x14ac:dyDescent="0.25">
      <c r="A30" s="31">
        <v>22</v>
      </c>
      <c r="B30" s="32" t="s">
        <v>156</v>
      </c>
      <c r="C30" s="36" t="s">
        <v>159</v>
      </c>
      <c r="D30" s="34"/>
      <c r="E30" s="34"/>
      <c r="F30" s="34"/>
      <c r="G30" s="34"/>
    </row>
    <row r="31" spans="1:7" ht="39.75" customHeight="1" x14ac:dyDescent="0.25">
      <c r="A31" s="27">
        <v>23</v>
      </c>
      <c r="B31" s="28" t="s">
        <v>156</v>
      </c>
      <c r="C31" s="35" t="s">
        <v>160</v>
      </c>
      <c r="D31" s="30"/>
      <c r="E31" s="30"/>
      <c r="F31" s="30"/>
      <c r="G31" s="30"/>
    </row>
    <row r="32" spans="1:7" ht="39.75" customHeight="1" x14ac:dyDescent="0.25">
      <c r="A32" s="31">
        <v>24</v>
      </c>
      <c r="B32" s="32" t="s">
        <v>156</v>
      </c>
      <c r="C32" s="36" t="s">
        <v>161</v>
      </c>
      <c r="D32" s="34"/>
      <c r="E32" s="34"/>
      <c r="F32" s="34"/>
      <c r="G32" s="34"/>
    </row>
    <row r="33" spans="1:7" ht="21.75" customHeight="1" x14ac:dyDescent="0.25">
      <c r="A33" s="174" t="s">
        <v>162</v>
      </c>
      <c r="B33" s="174"/>
      <c r="C33" s="174"/>
      <c r="D33" s="174"/>
      <c r="E33" s="174"/>
      <c r="F33" s="174"/>
      <c r="G33" s="174"/>
    </row>
    <row r="34" spans="1:7" ht="39.75" customHeight="1" x14ac:dyDescent="0.25">
      <c r="A34" s="27">
        <v>25</v>
      </c>
      <c r="B34" s="28" t="s">
        <v>163</v>
      </c>
      <c r="C34" s="35" t="s">
        <v>164</v>
      </c>
      <c r="D34" s="30"/>
      <c r="E34" s="30"/>
      <c r="F34" s="30"/>
      <c r="G34" s="30"/>
    </row>
    <row r="35" spans="1:7" ht="39.75" customHeight="1" x14ac:dyDescent="0.25">
      <c r="A35" s="31">
        <v>26</v>
      </c>
      <c r="B35" s="32" t="s">
        <v>163</v>
      </c>
      <c r="C35" s="36" t="s">
        <v>165</v>
      </c>
      <c r="D35" s="34"/>
      <c r="E35" s="34"/>
      <c r="F35" s="34"/>
      <c r="G35" s="34"/>
    </row>
    <row r="36" spans="1:7" ht="39.75" customHeight="1" x14ac:dyDescent="0.25">
      <c r="A36" s="27">
        <v>27</v>
      </c>
      <c r="B36" s="28" t="s">
        <v>163</v>
      </c>
      <c r="C36" s="35" t="s">
        <v>166</v>
      </c>
      <c r="D36" s="30"/>
      <c r="E36" s="30"/>
      <c r="F36" s="30"/>
      <c r="G36" s="30"/>
    </row>
    <row r="37" spans="1:7" ht="39.75" customHeight="1" x14ac:dyDescent="0.25">
      <c r="A37" s="31">
        <v>28</v>
      </c>
      <c r="B37" s="32" t="s">
        <v>163</v>
      </c>
      <c r="C37" s="36" t="s">
        <v>167</v>
      </c>
      <c r="D37" s="34"/>
      <c r="E37" s="34"/>
      <c r="F37" s="34"/>
      <c r="G37" s="34"/>
    </row>
    <row r="38" spans="1:7" ht="39.75" customHeight="1" x14ac:dyDescent="0.25">
      <c r="A38" s="27">
        <v>29</v>
      </c>
      <c r="B38" s="28" t="s">
        <v>163</v>
      </c>
      <c r="C38" s="35" t="s">
        <v>168</v>
      </c>
      <c r="D38" s="30"/>
      <c r="E38" s="30"/>
      <c r="F38" s="30"/>
      <c r="G38" s="30"/>
    </row>
    <row r="39" spans="1:7" ht="21.75" customHeight="1" x14ac:dyDescent="0.25">
      <c r="A39" s="174" t="s">
        <v>169</v>
      </c>
      <c r="B39" s="174"/>
      <c r="C39" s="174"/>
      <c r="D39" s="174"/>
      <c r="E39" s="174"/>
      <c r="F39" s="174"/>
      <c r="G39" s="174"/>
    </row>
    <row r="40" spans="1:7" ht="39.75" customHeight="1" x14ac:dyDescent="0.25">
      <c r="A40" s="31">
        <v>30</v>
      </c>
      <c r="B40" s="32" t="s">
        <v>170</v>
      </c>
      <c r="C40" s="36" t="s">
        <v>171</v>
      </c>
      <c r="D40" s="34"/>
      <c r="E40" s="34"/>
      <c r="F40" s="34"/>
      <c r="G40" s="34"/>
    </row>
    <row r="41" spans="1:7" ht="39.75" customHeight="1" x14ac:dyDescent="0.25">
      <c r="A41" s="27">
        <v>31</v>
      </c>
      <c r="B41" s="28" t="s">
        <v>170</v>
      </c>
      <c r="C41" s="35" t="s">
        <v>172</v>
      </c>
      <c r="D41" s="30"/>
      <c r="E41" s="30"/>
      <c r="F41" s="30"/>
      <c r="G41" s="30"/>
    </row>
    <row r="42" spans="1:7" ht="39.75" customHeight="1" x14ac:dyDescent="0.25">
      <c r="A42" s="31">
        <v>32</v>
      </c>
      <c r="B42" s="32" t="s">
        <v>170</v>
      </c>
      <c r="C42" s="36" t="s">
        <v>173</v>
      </c>
      <c r="D42" s="34"/>
      <c r="E42" s="34"/>
      <c r="F42" s="34"/>
      <c r="G42" s="34"/>
    </row>
    <row r="43" spans="1:7" ht="39.75" customHeight="1" x14ac:dyDescent="0.25">
      <c r="A43" s="27">
        <v>33</v>
      </c>
      <c r="B43" s="28" t="s">
        <v>170</v>
      </c>
      <c r="C43" s="35" t="s">
        <v>174</v>
      </c>
      <c r="D43" s="30"/>
      <c r="E43" s="30"/>
      <c r="F43" s="30"/>
      <c r="G43" s="30"/>
    </row>
    <row r="44" spans="1:7" ht="21.75" customHeight="1" x14ac:dyDescent="0.25">
      <c r="A44" s="174" t="s">
        <v>175</v>
      </c>
      <c r="B44" s="174"/>
      <c r="C44" s="174"/>
      <c r="D44" s="174"/>
      <c r="E44" s="174"/>
      <c r="F44" s="174"/>
      <c r="G44" s="174"/>
    </row>
    <row r="45" spans="1:7" ht="39.75" customHeight="1" x14ac:dyDescent="0.25">
      <c r="A45" s="31">
        <v>34</v>
      </c>
      <c r="B45" s="32" t="s">
        <v>176</v>
      </c>
      <c r="C45" s="36" t="s">
        <v>177</v>
      </c>
      <c r="D45" s="34"/>
      <c r="E45" s="34"/>
      <c r="F45" s="34"/>
      <c r="G45" s="34"/>
    </row>
    <row r="46" spans="1:7" ht="39.75" customHeight="1" x14ac:dyDescent="0.25">
      <c r="A46" s="27">
        <v>35</v>
      </c>
      <c r="B46" s="28" t="s">
        <v>176</v>
      </c>
      <c r="C46" s="35" t="s">
        <v>178</v>
      </c>
      <c r="D46" s="30"/>
      <c r="E46" s="30"/>
      <c r="F46" s="30"/>
      <c r="G46" s="30"/>
    </row>
    <row r="47" spans="1:7" ht="39.75" customHeight="1" x14ac:dyDescent="0.25">
      <c r="A47" s="31">
        <v>36</v>
      </c>
      <c r="B47" s="32" t="s">
        <v>176</v>
      </c>
      <c r="C47" s="36" t="s">
        <v>179</v>
      </c>
      <c r="D47" s="34"/>
      <c r="E47" s="34"/>
      <c r="F47" s="34"/>
      <c r="G47" s="34"/>
    </row>
    <row r="48" spans="1:7" ht="21.75" customHeight="1" x14ac:dyDescent="0.25">
      <c r="A48" s="174" t="s">
        <v>180</v>
      </c>
      <c r="B48" s="174"/>
      <c r="C48" s="174"/>
      <c r="D48" s="174"/>
      <c r="E48" s="174"/>
      <c r="F48" s="174"/>
      <c r="G48" s="174"/>
    </row>
    <row r="49" spans="1:7" ht="39.75" customHeight="1" x14ac:dyDescent="0.25">
      <c r="A49" s="27">
        <v>37</v>
      </c>
      <c r="B49" s="28" t="s">
        <v>181</v>
      </c>
      <c r="C49" s="35" t="s">
        <v>182</v>
      </c>
      <c r="D49" s="30"/>
      <c r="E49" s="30"/>
      <c r="F49" s="30"/>
      <c r="G49" s="30"/>
    </row>
    <row r="50" spans="1:7" ht="39.75" customHeight="1" x14ac:dyDescent="0.25">
      <c r="A50" s="31">
        <v>38</v>
      </c>
      <c r="B50" s="32" t="s">
        <v>181</v>
      </c>
      <c r="C50" s="36" t="s">
        <v>183</v>
      </c>
      <c r="D50" s="34"/>
      <c r="E50" s="34"/>
      <c r="F50" s="34"/>
      <c r="G50" s="34"/>
    </row>
    <row r="51" spans="1:7" ht="39.75" customHeight="1" x14ac:dyDescent="0.25">
      <c r="A51" s="27">
        <v>39</v>
      </c>
      <c r="B51" s="28" t="s">
        <v>181</v>
      </c>
      <c r="C51" s="35" t="s">
        <v>184</v>
      </c>
      <c r="D51" s="30"/>
      <c r="E51" s="30"/>
      <c r="F51" s="30"/>
      <c r="G51" s="30"/>
    </row>
    <row r="52" spans="1:7" ht="39.75" customHeight="1" x14ac:dyDescent="0.25">
      <c r="A52" s="31">
        <v>40</v>
      </c>
      <c r="B52" s="32" t="s">
        <v>181</v>
      </c>
      <c r="C52" s="36" t="s">
        <v>185</v>
      </c>
      <c r="D52" s="34"/>
      <c r="E52" s="34"/>
      <c r="F52" s="34"/>
      <c r="G52" s="34"/>
    </row>
    <row r="53" spans="1:7" ht="21.75" customHeight="1" x14ac:dyDescent="0.25">
      <c r="A53" s="174" t="s">
        <v>186</v>
      </c>
      <c r="B53" s="174"/>
      <c r="C53" s="174"/>
      <c r="D53" s="174"/>
      <c r="E53" s="174"/>
      <c r="F53" s="174"/>
      <c r="G53" s="174"/>
    </row>
    <row r="54" spans="1:7" ht="39.75" customHeight="1" x14ac:dyDescent="0.25">
      <c r="A54" s="27">
        <v>41</v>
      </c>
      <c r="B54" s="28" t="s">
        <v>187</v>
      </c>
      <c r="C54" s="35" t="s">
        <v>188</v>
      </c>
      <c r="D54" s="30"/>
      <c r="E54" s="30"/>
      <c r="F54" s="30"/>
      <c r="G54" s="30"/>
    </row>
    <row r="55" spans="1:7" ht="39.75" customHeight="1" x14ac:dyDescent="0.25">
      <c r="A55" s="31">
        <v>42</v>
      </c>
      <c r="B55" s="32" t="s">
        <v>187</v>
      </c>
      <c r="C55" s="36" t="s">
        <v>189</v>
      </c>
      <c r="D55" s="34"/>
      <c r="E55" s="34"/>
      <c r="F55" s="34"/>
      <c r="G55" s="34"/>
    </row>
  </sheetData>
  <mergeCells count="11">
    <mergeCell ref="A53:G53"/>
    <mergeCell ref="A27:G27"/>
    <mergeCell ref="A33:G33"/>
    <mergeCell ref="A39:G39"/>
    <mergeCell ref="A44:G44"/>
    <mergeCell ref="A48:G48"/>
    <mergeCell ref="A1:G1"/>
    <mergeCell ref="A2:G2"/>
    <mergeCell ref="A5:G5"/>
    <mergeCell ref="A13:G13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P25"/>
  <sheetViews>
    <sheetView showGridLines="0" topLeftCell="A4" zoomScaleNormal="100" workbookViewId="0">
      <selection activeCell="C14" sqref="C14"/>
    </sheetView>
  </sheetViews>
  <sheetFormatPr defaultColWidth="8.7109375" defaultRowHeight="15" x14ac:dyDescent="0.25"/>
  <cols>
    <col min="1" max="1" width="3" style="15" customWidth="1"/>
    <col min="2" max="2" width="20" style="15" customWidth="1"/>
    <col min="3" max="3" width="13.7109375" style="15" customWidth="1"/>
    <col min="4" max="4" width="42" style="15" customWidth="1"/>
    <col min="5" max="5" width="4" style="15" customWidth="1"/>
    <col min="6" max="6" width="20" style="15" customWidth="1"/>
    <col min="7" max="7" width="8" style="15" customWidth="1"/>
    <col min="8" max="8" width="55" style="15" customWidth="1"/>
    <col min="9" max="9" width="3" style="15" customWidth="1"/>
    <col min="11" max="12" width="3.7109375" style="15" customWidth="1"/>
  </cols>
  <sheetData>
    <row r="1" spans="1:16" ht="34.5" customHeight="1" x14ac:dyDescent="0.25">
      <c r="A1" s="17"/>
      <c r="B1" s="168" t="s">
        <v>190</v>
      </c>
      <c r="C1" s="168"/>
      <c r="D1" s="168"/>
      <c r="E1" s="168"/>
      <c r="F1" s="168"/>
      <c r="G1" s="168"/>
      <c r="H1" s="168"/>
      <c r="I1" s="17"/>
      <c r="J1" s="17"/>
      <c r="K1" s="17"/>
      <c r="L1" s="17"/>
      <c r="M1" s="17"/>
      <c r="N1" s="17"/>
    </row>
    <row r="2" spans="1:16" ht="19.5" customHeight="1" x14ac:dyDescent="0.25">
      <c r="A2" s="17"/>
      <c r="B2" s="169" t="s">
        <v>191</v>
      </c>
      <c r="C2" s="169"/>
      <c r="D2" s="169"/>
      <c r="E2" s="169"/>
      <c r="F2" s="169"/>
      <c r="G2" s="169"/>
      <c r="H2" s="169"/>
      <c r="I2" s="17"/>
      <c r="J2" s="17"/>
      <c r="K2" s="17"/>
      <c r="L2" s="17"/>
      <c r="M2" s="17"/>
      <c r="N2" s="17"/>
    </row>
    <row r="3" spans="1:16" ht="9.7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6" ht="24" customHeight="1" x14ac:dyDescent="0.25">
      <c r="A4" s="17"/>
      <c r="B4" s="6" t="s">
        <v>192</v>
      </c>
      <c r="C4" s="6"/>
      <c r="D4" s="6"/>
      <c r="E4" s="17"/>
      <c r="F4" s="6" t="s">
        <v>193</v>
      </c>
      <c r="G4" s="6"/>
      <c r="H4" s="6"/>
      <c r="I4" s="17"/>
      <c r="J4" s="17"/>
      <c r="K4" s="17"/>
      <c r="L4" s="17"/>
      <c r="M4" s="17"/>
      <c r="N4" s="17"/>
    </row>
    <row r="5" spans="1:16" ht="21.75" customHeight="1" x14ac:dyDescent="0.25">
      <c r="A5" s="17"/>
      <c r="B5" s="37" t="s">
        <v>194</v>
      </c>
      <c r="C5" s="37" t="s">
        <v>195</v>
      </c>
      <c r="D5" s="37" t="s">
        <v>196</v>
      </c>
      <c r="E5" s="17"/>
      <c r="F5" s="37" t="s">
        <v>194</v>
      </c>
      <c r="G5" s="37" t="s">
        <v>195</v>
      </c>
      <c r="H5" s="37" t="s">
        <v>196</v>
      </c>
      <c r="I5" s="17"/>
      <c r="J5" s="17"/>
      <c r="K5" s="17"/>
      <c r="L5" s="17"/>
      <c r="M5" s="17"/>
      <c r="N5" s="17"/>
    </row>
    <row r="6" spans="1:16" ht="21.75" customHeight="1" x14ac:dyDescent="0.25">
      <c r="A6" s="17"/>
      <c r="B6" s="38">
        <v>1</v>
      </c>
      <c r="C6" s="38" t="s">
        <v>197</v>
      </c>
      <c r="D6" s="39" t="s">
        <v>198</v>
      </c>
      <c r="E6" s="17"/>
      <c r="F6" s="40">
        <v>1</v>
      </c>
      <c r="G6" s="40" t="s">
        <v>199</v>
      </c>
      <c r="H6" s="41" t="s">
        <v>200</v>
      </c>
      <c r="I6" s="17"/>
      <c r="J6" s="17"/>
      <c r="K6" s="17"/>
      <c r="L6" s="17"/>
      <c r="M6" s="17"/>
      <c r="N6" s="17"/>
    </row>
    <row r="7" spans="1:16" ht="21.75" customHeight="1" x14ac:dyDescent="0.25">
      <c r="A7" s="17"/>
      <c r="B7" s="42">
        <v>2</v>
      </c>
      <c r="C7" s="42" t="s">
        <v>201</v>
      </c>
      <c r="D7" s="43" t="s">
        <v>202</v>
      </c>
      <c r="E7" s="17"/>
      <c r="F7" s="44">
        <v>2</v>
      </c>
      <c r="G7" s="44" t="s">
        <v>203</v>
      </c>
      <c r="H7" s="45" t="s">
        <v>204</v>
      </c>
      <c r="I7" s="17"/>
      <c r="J7" s="17"/>
      <c r="K7" s="17"/>
      <c r="L7" s="17"/>
      <c r="M7" s="17"/>
      <c r="N7" s="17"/>
    </row>
    <row r="8" spans="1:16" ht="21.75" customHeight="1" x14ac:dyDescent="0.25">
      <c r="A8" s="17"/>
      <c r="B8" s="46">
        <v>3</v>
      </c>
      <c r="C8" s="46" t="s">
        <v>205</v>
      </c>
      <c r="D8" s="47" t="s">
        <v>206</v>
      </c>
      <c r="E8" s="17"/>
      <c r="F8" s="48">
        <v>3</v>
      </c>
      <c r="G8" s="48" t="s">
        <v>207</v>
      </c>
      <c r="H8" s="49" t="s">
        <v>208</v>
      </c>
      <c r="I8" s="17"/>
      <c r="J8" s="17"/>
      <c r="K8" s="17"/>
      <c r="L8" s="17"/>
      <c r="M8" s="17"/>
      <c r="N8" s="17"/>
      <c r="O8" s="17"/>
      <c r="P8" s="17"/>
    </row>
    <row r="9" spans="1:16" ht="21.75" customHeight="1" x14ac:dyDescent="0.25">
      <c r="A9" s="17"/>
      <c r="B9" s="50">
        <v>4</v>
      </c>
      <c r="C9" s="50" t="s">
        <v>209</v>
      </c>
      <c r="D9" s="51" t="s">
        <v>210</v>
      </c>
      <c r="E9" s="17"/>
      <c r="F9" s="52">
        <v>4</v>
      </c>
      <c r="G9" s="52" t="s">
        <v>4</v>
      </c>
      <c r="H9" s="53" t="s">
        <v>211</v>
      </c>
      <c r="I9" s="17"/>
      <c r="J9" s="17"/>
      <c r="K9" s="17"/>
      <c r="L9" s="17"/>
      <c r="M9" s="17"/>
      <c r="N9" s="17"/>
    </row>
    <row r="10" spans="1:16" ht="21.75" customHeight="1" x14ac:dyDescent="0.25">
      <c r="A10" s="17"/>
      <c r="B10" s="54">
        <v>5</v>
      </c>
      <c r="C10" s="54" t="s">
        <v>212</v>
      </c>
      <c r="D10" s="55" t="s">
        <v>213</v>
      </c>
      <c r="E10" s="17"/>
      <c r="F10" s="56">
        <v>5</v>
      </c>
      <c r="G10" s="56" t="s">
        <v>3</v>
      </c>
      <c r="H10" s="57" t="s">
        <v>214</v>
      </c>
      <c r="I10" s="17"/>
      <c r="J10" s="17"/>
      <c r="K10" s="17"/>
      <c r="L10" s="17"/>
      <c r="M10" s="17"/>
      <c r="N10" s="17"/>
    </row>
    <row r="11" spans="1:16" ht="9.75" customHeight="1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6" ht="24" customHeight="1" x14ac:dyDescent="0.25">
      <c r="A12" s="17"/>
      <c r="B12" s="6" t="s">
        <v>215</v>
      </c>
      <c r="C12" s="6"/>
      <c r="D12" s="6"/>
      <c r="E12" s="6"/>
      <c r="F12" s="6"/>
      <c r="G12" s="6"/>
      <c r="H12" s="6"/>
      <c r="I12" s="17"/>
      <c r="J12" s="17"/>
      <c r="K12" s="17"/>
      <c r="L12" s="17"/>
      <c r="M12" s="17"/>
      <c r="N12" s="17"/>
    </row>
    <row r="13" spans="1:16" ht="21.75" customHeight="1" x14ac:dyDescent="0.25">
      <c r="A13" s="17"/>
      <c r="B13" s="37" t="s">
        <v>216</v>
      </c>
      <c r="C13" s="37" t="s">
        <v>217</v>
      </c>
      <c r="D13" s="37" t="s">
        <v>218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6" ht="24" customHeight="1" x14ac:dyDescent="0.25">
      <c r="A14" s="17"/>
      <c r="B14" s="40" t="s">
        <v>219</v>
      </c>
      <c r="C14" s="40" t="s">
        <v>199</v>
      </c>
      <c r="D14" s="41" t="s">
        <v>220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6" ht="24" customHeight="1" x14ac:dyDescent="0.25">
      <c r="A15" s="17"/>
      <c r="B15" s="44" t="s">
        <v>221</v>
      </c>
      <c r="C15" s="44" t="s">
        <v>203</v>
      </c>
      <c r="D15" s="45" t="s">
        <v>222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6" ht="24" customHeight="1" x14ac:dyDescent="0.25">
      <c r="A16" s="17"/>
      <c r="B16" s="48" t="s">
        <v>223</v>
      </c>
      <c r="C16" s="48" t="s">
        <v>207</v>
      </c>
      <c r="D16" s="49" t="s">
        <v>224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6" ht="24" customHeight="1" x14ac:dyDescent="0.25">
      <c r="A17" s="17"/>
      <c r="B17" s="52" t="s">
        <v>225</v>
      </c>
      <c r="C17" s="52" t="s">
        <v>4</v>
      </c>
      <c r="D17" s="53" t="s">
        <v>226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</row>
    <row r="18" spans="1:16" ht="24" customHeight="1" x14ac:dyDescent="0.25">
      <c r="A18" s="17"/>
      <c r="B18" s="56" t="s">
        <v>227</v>
      </c>
      <c r="C18" s="56" t="s">
        <v>3</v>
      </c>
      <c r="D18" s="57" t="s">
        <v>228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</row>
    <row r="19" spans="1:16" ht="9.75" customHeight="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</row>
    <row r="20" spans="1:16" ht="24" customHeight="1" x14ac:dyDescent="0.25">
      <c r="A20" s="17"/>
      <c r="B20" s="6" t="s">
        <v>229</v>
      </c>
      <c r="C20" s="6"/>
      <c r="D20" s="6"/>
      <c r="E20" s="6"/>
      <c r="F20" s="6"/>
      <c r="G20" s="6"/>
      <c r="H20" s="6"/>
      <c r="I20" s="17"/>
      <c r="J20" s="17"/>
      <c r="K20" s="17"/>
      <c r="L20" s="17"/>
      <c r="M20" s="17"/>
      <c r="N20" s="17"/>
      <c r="O20" s="17"/>
      <c r="P20" s="17"/>
    </row>
    <row r="21" spans="1:16" ht="21.75" customHeight="1" x14ac:dyDescent="0.25">
      <c r="A21" s="17"/>
      <c r="B21" s="175" t="s">
        <v>230</v>
      </c>
      <c r="C21" s="175"/>
      <c r="D21" s="176" t="s">
        <v>228</v>
      </c>
      <c r="E21" s="176"/>
      <c r="F21" s="176"/>
      <c r="G21" s="176"/>
      <c r="H21" s="176"/>
      <c r="I21" s="17"/>
      <c r="J21" s="17"/>
      <c r="K21" s="17"/>
      <c r="L21" s="17"/>
      <c r="M21" s="17"/>
      <c r="N21" s="17"/>
      <c r="O21" s="17"/>
      <c r="P21" s="17"/>
    </row>
    <row r="22" spans="1:16" ht="21.75" customHeight="1" x14ac:dyDescent="0.25">
      <c r="B22" s="177" t="s">
        <v>231</v>
      </c>
      <c r="C22" s="177"/>
      <c r="D22" s="178" t="s">
        <v>226</v>
      </c>
      <c r="E22" s="178"/>
      <c r="F22" s="178"/>
      <c r="G22" s="178"/>
      <c r="H22" s="178"/>
    </row>
    <row r="23" spans="1:16" ht="21.75" customHeight="1" x14ac:dyDescent="0.25">
      <c r="B23" s="179" t="s">
        <v>232</v>
      </c>
      <c r="C23" s="179"/>
      <c r="D23" s="176" t="s">
        <v>224</v>
      </c>
      <c r="E23" s="176"/>
      <c r="F23" s="176"/>
      <c r="G23" s="176"/>
      <c r="H23" s="176"/>
    </row>
    <row r="24" spans="1:16" ht="21.75" customHeight="1" x14ac:dyDescent="0.25">
      <c r="B24" s="180" t="s">
        <v>233</v>
      </c>
      <c r="C24" s="180"/>
      <c r="D24" s="178" t="s">
        <v>222</v>
      </c>
      <c r="E24" s="178"/>
      <c r="F24" s="178"/>
      <c r="G24" s="178"/>
      <c r="H24" s="178"/>
    </row>
    <row r="25" spans="1:16" ht="21.75" customHeight="1" x14ac:dyDescent="0.25">
      <c r="B25" s="181" t="s">
        <v>234</v>
      </c>
      <c r="C25" s="181"/>
      <c r="D25" s="176" t="s">
        <v>220</v>
      </c>
      <c r="E25" s="176"/>
      <c r="F25" s="176"/>
      <c r="G25" s="176"/>
      <c r="H25" s="176"/>
    </row>
  </sheetData>
  <mergeCells count="16">
    <mergeCell ref="B23:C23"/>
    <mergeCell ref="D23:H23"/>
    <mergeCell ref="B24:C24"/>
    <mergeCell ref="D24:H24"/>
    <mergeCell ref="B25:C25"/>
    <mergeCell ref="D25:H25"/>
    <mergeCell ref="B20:H20"/>
    <mergeCell ref="B21:C21"/>
    <mergeCell ref="D21:H21"/>
    <mergeCell ref="B22:C22"/>
    <mergeCell ref="D22:H22"/>
    <mergeCell ref="B1:H1"/>
    <mergeCell ref="B2:H2"/>
    <mergeCell ref="B4:D4"/>
    <mergeCell ref="F4:H4"/>
    <mergeCell ref="B12:H1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topLeftCell="A4" zoomScaleNormal="100" workbookViewId="0"/>
  </sheetViews>
  <sheetFormatPr defaultColWidth="8.7109375" defaultRowHeight="15" x14ac:dyDescent="0.25"/>
  <cols>
    <col min="1" max="1" width="30" style="15" customWidth="1"/>
    <col min="2" max="7" width="14" style="15" customWidth="1"/>
  </cols>
  <sheetData>
    <row r="1" spans="1:7" ht="37.5" customHeight="1" x14ac:dyDescent="0.25">
      <c r="A1" s="171" t="s">
        <v>235</v>
      </c>
      <c r="B1" s="171"/>
      <c r="C1" s="171"/>
      <c r="D1" s="171"/>
      <c r="E1" s="171"/>
      <c r="F1" s="171"/>
      <c r="G1" s="171"/>
    </row>
    <row r="2" spans="1:7" ht="21.75" customHeight="1" x14ac:dyDescent="0.25">
      <c r="A2" s="172" t="s">
        <v>236</v>
      </c>
      <c r="B2" s="172"/>
      <c r="C2" s="172"/>
      <c r="D2" s="172"/>
      <c r="E2" s="172"/>
      <c r="F2" s="172"/>
      <c r="G2" s="172"/>
    </row>
    <row r="3" spans="1:7" ht="12" customHeight="1" x14ac:dyDescent="0.25"/>
    <row r="4" spans="1:7" ht="24" customHeight="1" x14ac:dyDescent="0.25">
      <c r="A4" s="182" t="s">
        <v>237</v>
      </c>
      <c r="B4" s="182"/>
      <c r="C4" s="182"/>
      <c r="D4" s="182"/>
      <c r="E4" s="182"/>
      <c r="F4" s="182"/>
      <c r="G4" s="182"/>
    </row>
    <row r="5" spans="1:7" ht="24" customHeight="1" x14ac:dyDescent="0.25">
      <c r="A5" s="58" t="s">
        <v>238</v>
      </c>
      <c r="C5" s="183"/>
      <c r="D5" s="183"/>
      <c r="E5" s="183"/>
      <c r="F5" s="183"/>
      <c r="G5" s="183"/>
    </row>
    <row r="6" spans="1:7" ht="24" customHeight="1" x14ac:dyDescent="0.25">
      <c r="A6" s="58" t="s">
        <v>239</v>
      </c>
      <c r="C6" s="183"/>
      <c r="D6" s="183"/>
      <c r="E6" s="183"/>
      <c r="F6" s="183"/>
      <c r="G6" s="183"/>
    </row>
    <row r="7" spans="1:7" ht="24" customHeight="1" x14ac:dyDescent="0.25">
      <c r="A7" s="58" t="s">
        <v>240</v>
      </c>
      <c r="C7" s="183"/>
      <c r="D7" s="183"/>
      <c r="E7" s="183"/>
      <c r="F7" s="183"/>
      <c r="G7" s="183"/>
    </row>
    <row r="8" spans="1:7" ht="24" customHeight="1" x14ac:dyDescent="0.25">
      <c r="A8" s="58" t="s">
        <v>241</v>
      </c>
      <c r="C8" s="183"/>
      <c r="D8" s="183"/>
      <c r="E8" s="183"/>
      <c r="F8" s="183"/>
      <c r="G8" s="183"/>
    </row>
    <row r="9" spans="1:7" ht="24" customHeight="1" x14ac:dyDescent="0.25">
      <c r="A9" s="58" t="s">
        <v>242</v>
      </c>
      <c r="C9" s="183"/>
      <c r="D9" s="183"/>
      <c r="E9" s="183"/>
      <c r="F9" s="183"/>
      <c r="G9" s="183"/>
    </row>
    <row r="10" spans="1:7" ht="24" customHeight="1" x14ac:dyDescent="0.25">
      <c r="A10" s="58" t="s">
        <v>243</v>
      </c>
      <c r="C10" s="183"/>
      <c r="D10" s="183"/>
      <c r="E10" s="183"/>
      <c r="F10" s="183"/>
      <c r="G10" s="183"/>
    </row>
    <row r="11" spans="1:7" ht="24" customHeight="1" x14ac:dyDescent="0.25">
      <c r="A11" s="58" t="s">
        <v>244</v>
      </c>
      <c r="C11" s="183"/>
      <c r="D11" s="183"/>
      <c r="E11" s="183"/>
      <c r="F11" s="183"/>
      <c r="G11" s="183"/>
    </row>
    <row r="12" spans="1:7" ht="9.75" customHeight="1" x14ac:dyDescent="0.25"/>
    <row r="13" spans="1:7" ht="24" customHeight="1" x14ac:dyDescent="0.25">
      <c r="A13" s="182" t="s">
        <v>245</v>
      </c>
      <c r="B13" s="182"/>
      <c r="C13" s="182"/>
      <c r="D13" s="182"/>
      <c r="E13" s="182"/>
      <c r="F13" s="182"/>
      <c r="G13" s="182"/>
    </row>
    <row r="14" spans="1:7" ht="19.5" customHeight="1" x14ac:dyDescent="0.25">
      <c r="A14" s="59" t="s">
        <v>246</v>
      </c>
      <c r="B14" s="60" t="s">
        <v>247</v>
      </c>
      <c r="C14" s="60" t="s">
        <v>248</v>
      </c>
      <c r="D14" s="60" t="s">
        <v>249</v>
      </c>
      <c r="E14" s="60" t="s">
        <v>250</v>
      </c>
      <c r="F14" s="60" t="s">
        <v>251</v>
      </c>
    </row>
    <row r="15" spans="1:7" ht="25.5" customHeight="1" x14ac:dyDescent="0.25">
      <c r="A15" s="61" t="s">
        <v>252</v>
      </c>
      <c r="B15" s="184"/>
      <c r="C15" s="184"/>
      <c r="D15" s="184"/>
      <c r="E15" s="184"/>
      <c r="F15" s="184"/>
      <c r="G15" s="184"/>
    </row>
    <row r="16" spans="1:7" ht="9.75" customHeight="1" x14ac:dyDescent="0.25"/>
    <row r="17" spans="1:7" ht="19.5" customHeight="1" x14ac:dyDescent="0.25">
      <c r="A17" s="59" t="s">
        <v>253</v>
      </c>
      <c r="B17" s="60" t="s">
        <v>254</v>
      </c>
      <c r="C17" s="60" t="s">
        <v>255</v>
      </c>
      <c r="D17" s="60" t="s">
        <v>256</v>
      </c>
      <c r="E17" s="60" t="s">
        <v>257</v>
      </c>
      <c r="F17" s="60" t="s">
        <v>258</v>
      </c>
    </row>
    <row r="18" spans="1:7" ht="25.5" customHeight="1" x14ac:dyDescent="0.25">
      <c r="A18" s="61" t="s">
        <v>259</v>
      </c>
      <c r="B18" s="184"/>
      <c r="C18" s="184"/>
      <c r="D18" s="184"/>
      <c r="E18" s="184"/>
      <c r="F18" s="184"/>
      <c r="G18" s="184"/>
    </row>
    <row r="19" spans="1:7" ht="9.75" customHeight="1" x14ac:dyDescent="0.25"/>
    <row r="20" spans="1:7" ht="31.5" customHeight="1" x14ac:dyDescent="0.25">
      <c r="A20" s="62" t="s">
        <v>260</v>
      </c>
      <c r="B20" s="185" t="str">
        <f>IF(AND(ISNUMBER(B15),ISNUMBER(B18)),B15*B18,"")</f>
        <v/>
      </c>
      <c r="C20" s="185"/>
      <c r="D20" s="185"/>
      <c r="E20" s="185"/>
      <c r="F20" s="185"/>
      <c r="G20" s="185"/>
    </row>
    <row r="21" spans="1:7" ht="9.75" customHeight="1" x14ac:dyDescent="0.25"/>
    <row r="22" spans="1:7" ht="27.75" customHeight="1" x14ac:dyDescent="0.25">
      <c r="A22" s="62" t="s">
        <v>261</v>
      </c>
      <c r="B22" s="186" t="str">
        <f>IF(B20="","—",IF(B20&gt;=20,"🔴  CRITICAL",IF(B20&gt;=12,"🟠  HIGH",IF(B20&gt;=5,"🟡  MEDIUM",IF(B20&gt;=3,"🟢  LOW","🔵  VERY LOW")))))</f>
        <v>—</v>
      </c>
      <c r="C22" s="186"/>
      <c r="D22" s="186"/>
      <c r="E22" s="186"/>
      <c r="F22" s="186"/>
      <c r="G22" s="186"/>
    </row>
    <row r="23" spans="1:7" ht="9.75" customHeight="1" x14ac:dyDescent="0.25"/>
    <row r="24" spans="1:7" ht="24" customHeight="1" x14ac:dyDescent="0.25">
      <c r="A24" s="182" t="s">
        <v>262</v>
      </c>
      <c r="B24" s="182"/>
      <c r="C24" s="182"/>
      <c r="D24" s="182"/>
      <c r="E24" s="182"/>
      <c r="F24" s="182"/>
      <c r="G24" s="182"/>
    </row>
    <row r="25" spans="1:7" ht="24" customHeight="1" x14ac:dyDescent="0.25">
      <c r="A25" s="58" t="s">
        <v>263</v>
      </c>
      <c r="C25" s="183"/>
      <c r="D25" s="183"/>
      <c r="E25" s="183"/>
      <c r="F25" s="183"/>
      <c r="G25" s="183"/>
    </row>
    <row r="26" spans="1:7" ht="24" customHeight="1" x14ac:dyDescent="0.25">
      <c r="A26" s="58" t="s">
        <v>264</v>
      </c>
      <c r="C26" s="183"/>
      <c r="D26" s="183"/>
      <c r="E26" s="183"/>
      <c r="F26" s="183"/>
      <c r="G26" s="183"/>
    </row>
    <row r="27" spans="1:7" ht="24" customHeight="1" x14ac:dyDescent="0.25">
      <c r="A27" s="58" t="s">
        <v>265</v>
      </c>
      <c r="C27" s="183"/>
      <c r="D27" s="183"/>
      <c r="E27" s="183"/>
      <c r="F27" s="183"/>
      <c r="G27" s="183"/>
    </row>
    <row r="28" spans="1:7" ht="24" customHeight="1" x14ac:dyDescent="0.25">
      <c r="A28" s="58" t="s">
        <v>266</v>
      </c>
      <c r="C28" s="183"/>
      <c r="D28" s="183"/>
      <c r="E28" s="183"/>
      <c r="F28" s="183"/>
      <c r="G28" s="183"/>
    </row>
    <row r="29" spans="1:7" ht="24" customHeight="1" x14ac:dyDescent="0.25">
      <c r="A29" s="58" t="s">
        <v>267</v>
      </c>
      <c r="C29" s="183"/>
      <c r="D29" s="183"/>
      <c r="E29" s="183"/>
      <c r="F29" s="183"/>
      <c r="G29" s="183"/>
    </row>
    <row r="30" spans="1:7" ht="24" customHeight="1" x14ac:dyDescent="0.25">
      <c r="A30" s="58" t="s">
        <v>268</v>
      </c>
      <c r="C30" s="183"/>
      <c r="D30" s="183"/>
      <c r="E30" s="183"/>
      <c r="F30" s="183"/>
      <c r="G30" s="183"/>
    </row>
    <row r="31" spans="1:7" ht="9.75" customHeight="1" x14ac:dyDescent="0.25"/>
    <row r="32" spans="1:7" ht="24" customHeight="1" x14ac:dyDescent="0.25">
      <c r="A32" s="182" t="s">
        <v>269</v>
      </c>
      <c r="B32" s="182"/>
      <c r="C32" s="182"/>
      <c r="D32" s="182"/>
      <c r="E32" s="182"/>
      <c r="F32" s="182"/>
      <c r="G32" s="182"/>
    </row>
    <row r="33" spans="1:7" ht="30" customHeight="1" x14ac:dyDescent="0.25">
      <c r="A33" s="187"/>
      <c r="B33" s="187"/>
      <c r="C33" s="187"/>
      <c r="D33" s="187"/>
      <c r="E33" s="187"/>
      <c r="F33" s="187"/>
      <c r="G33" s="187"/>
    </row>
    <row r="34" spans="1:7" ht="30" customHeight="1" x14ac:dyDescent="0.25">
      <c r="A34" s="187"/>
      <c r="B34" s="187"/>
      <c r="C34" s="187"/>
      <c r="D34" s="187"/>
      <c r="E34" s="187"/>
      <c r="F34" s="187"/>
      <c r="G34" s="187"/>
    </row>
    <row r="35" spans="1:7" ht="30" customHeight="1" x14ac:dyDescent="0.25">
      <c r="A35" s="187"/>
      <c r="B35" s="187"/>
      <c r="C35" s="187"/>
      <c r="D35" s="187"/>
      <c r="E35" s="187"/>
      <c r="F35" s="187"/>
      <c r="G35" s="187"/>
    </row>
  </sheetData>
  <mergeCells count="26">
    <mergeCell ref="A35:G35"/>
    <mergeCell ref="C29:G29"/>
    <mergeCell ref="C30:G30"/>
    <mergeCell ref="A32:G32"/>
    <mergeCell ref="A33:G33"/>
    <mergeCell ref="A34:G34"/>
    <mergeCell ref="A24:G24"/>
    <mergeCell ref="C25:G25"/>
    <mergeCell ref="C26:G26"/>
    <mergeCell ref="C27:G27"/>
    <mergeCell ref="C28:G28"/>
    <mergeCell ref="A13:G13"/>
    <mergeCell ref="B15:G15"/>
    <mergeCell ref="B18:G18"/>
    <mergeCell ref="B20:G20"/>
    <mergeCell ref="B22:G22"/>
    <mergeCell ref="C7:G7"/>
    <mergeCell ref="C8:G8"/>
    <mergeCell ref="C9:G9"/>
    <mergeCell ref="C10:G10"/>
    <mergeCell ref="C11:G11"/>
    <mergeCell ref="A1:G1"/>
    <mergeCell ref="A2:G2"/>
    <mergeCell ref="A4:G4"/>
    <mergeCell ref="C5:G5"/>
    <mergeCell ref="C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</sheetPr>
  <dimension ref="A1:AG103"/>
  <sheetViews>
    <sheetView showGridLines="0" topLeftCell="M1" zoomScale="115" zoomScaleNormal="115" workbookViewId="0">
      <pane ySplit="3" topLeftCell="A10" activePane="bottomLeft" state="frozen"/>
      <selection activeCell="M1" sqref="M1"/>
      <selection pane="bottomLeft" activeCell="AD11" sqref="AD11"/>
    </sheetView>
  </sheetViews>
  <sheetFormatPr defaultColWidth="9.140625" defaultRowHeight="15" x14ac:dyDescent="0.25"/>
  <cols>
    <col min="1" max="1" width="9" style="63" customWidth="1"/>
    <col min="2" max="2" width="32.7109375" style="63" customWidth="1"/>
    <col min="3" max="3" width="27.85546875" style="63" customWidth="1"/>
    <col min="4" max="4" width="28.5703125" style="63" customWidth="1"/>
    <col min="5" max="5" width="20.28515625" style="63" customWidth="1"/>
    <col min="6" max="6" width="24.42578125" style="63" customWidth="1"/>
    <col min="7" max="7" width="35.85546875" style="63" customWidth="1"/>
    <col min="8" max="8" width="35.28515625" style="63" customWidth="1"/>
    <col min="9" max="9" width="10" style="63" customWidth="1"/>
    <col min="10" max="10" width="38.85546875" style="63" customWidth="1"/>
    <col min="11" max="11" width="41.140625" style="63" customWidth="1"/>
    <col min="12" max="13" width="10" style="63" customWidth="1"/>
    <col min="14" max="14" width="10" style="64" customWidth="1"/>
    <col min="15" max="18" width="10" style="15" customWidth="1"/>
    <col min="19" max="21" width="6" style="15" customWidth="1"/>
    <col min="22" max="23" width="12" style="63" customWidth="1"/>
    <col min="24" max="24" width="14" style="63" customWidth="1"/>
    <col min="25" max="25" width="22" style="63" customWidth="1"/>
    <col min="26" max="26" width="12" style="63" customWidth="1"/>
    <col min="27" max="28" width="14" style="63" customWidth="1"/>
    <col min="29" max="29" width="10" style="63" customWidth="1"/>
    <col min="30" max="30" width="38" style="63" customWidth="1"/>
    <col min="31" max="31" width="14" style="63" customWidth="1"/>
    <col min="32" max="32" width="28" style="63" customWidth="1"/>
    <col min="33" max="33" width="32.85546875" style="63" customWidth="1"/>
    <col min="34" max="16384" width="9.140625" style="63"/>
  </cols>
  <sheetData>
    <row r="1" spans="1:33" ht="30" customHeight="1" x14ac:dyDescent="0.2">
      <c r="A1" s="188" t="s">
        <v>270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7"/>
    </row>
    <row r="2" spans="1:33" ht="21.75" customHeight="1" x14ac:dyDescent="0.2">
      <c r="A2" s="189" t="s">
        <v>271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37" t="s">
        <v>272</v>
      </c>
      <c r="N2" s="190" t="s">
        <v>273</v>
      </c>
      <c r="O2" s="190"/>
      <c r="P2" s="190"/>
      <c r="Q2" s="190"/>
      <c r="R2" s="190"/>
      <c r="S2" s="190"/>
      <c r="T2" s="190"/>
      <c r="U2" s="190"/>
      <c r="V2" s="189" t="s">
        <v>274</v>
      </c>
      <c r="W2" s="189"/>
      <c r="X2" s="189"/>
      <c r="Y2" s="190" t="s">
        <v>275</v>
      </c>
      <c r="Z2" s="190"/>
      <c r="AA2" s="190"/>
      <c r="AB2" s="189" t="s">
        <v>276</v>
      </c>
      <c r="AC2" s="189"/>
      <c r="AD2" s="189"/>
      <c r="AE2" s="189"/>
      <c r="AF2" s="189"/>
      <c r="AG2" s="17"/>
    </row>
    <row r="3" spans="1:33" ht="30" customHeight="1" x14ac:dyDescent="0.2">
      <c r="A3" s="65" t="s">
        <v>277</v>
      </c>
      <c r="B3" s="65" t="s">
        <v>278</v>
      </c>
      <c r="C3" s="65" t="s">
        <v>279</v>
      </c>
      <c r="D3" s="65" t="s">
        <v>280</v>
      </c>
      <c r="E3" s="65" t="s">
        <v>281</v>
      </c>
      <c r="F3" s="65" t="s">
        <v>56</v>
      </c>
      <c r="G3" s="65" t="s">
        <v>282</v>
      </c>
      <c r="H3" s="65" t="s">
        <v>283</v>
      </c>
      <c r="I3" s="65" t="s">
        <v>284</v>
      </c>
      <c r="J3" s="65" t="s">
        <v>285</v>
      </c>
      <c r="K3" s="65" t="s">
        <v>286</v>
      </c>
      <c r="L3" s="65" t="s">
        <v>287</v>
      </c>
      <c r="M3" s="65" t="s">
        <v>288</v>
      </c>
      <c r="N3" s="65" t="s">
        <v>289</v>
      </c>
      <c r="O3" s="65" t="s">
        <v>290</v>
      </c>
      <c r="P3" s="65" t="s">
        <v>291</v>
      </c>
      <c r="Q3" s="65" t="s">
        <v>292</v>
      </c>
      <c r="R3" s="65" t="s">
        <v>293</v>
      </c>
      <c r="S3" s="65" t="s">
        <v>294</v>
      </c>
      <c r="T3" s="65" t="s">
        <v>295</v>
      </c>
      <c r="U3" s="65" t="s">
        <v>296</v>
      </c>
      <c r="V3" s="65" t="s">
        <v>297</v>
      </c>
      <c r="W3" s="65" t="s">
        <v>298</v>
      </c>
      <c r="X3" s="65" t="s">
        <v>299</v>
      </c>
      <c r="Y3" s="65" t="s">
        <v>300</v>
      </c>
      <c r="Z3" s="65" t="s">
        <v>301</v>
      </c>
      <c r="AA3" s="65" t="s">
        <v>302</v>
      </c>
      <c r="AB3" s="65" t="s">
        <v>303</v>
      </c>
      <c r="AC3" s="65" t="s">
        <v>304</v>
      </c>
      <c r="AD3" s="65" t="s">
        <v>305</v>
      </c>
      <c r="AE3" s="65" t="s">
        <v>306</v>
      </c>
      <c r="AF3" s="66" t="s">
        <v>307</v>
      </c>
      <c r="AG3" s="17"/>
    </row>
    <row r="4" spans="1:33" ht="45" customHeight="1" x14ac:dyDescent="0.2">
      <c r="A4" s="67" t="s">
        <v>308</v>
      </c>
      <c r="B4" s="68" t="s">
        <v>309</v>
      </c>
      <c r="C4" s="68" t="s">
        <v>310</v>
      </c>
      <c r="D4" s="68" t="s">
        <v>311</v>
      </c>
      <c r="E4" s="68" t="s">
        <v>312</v>
      </c>
      <c r="F4" s="68" t="s">
        <v>313</v>
      </c>
      <c r="G4" s="68" t="s">
        <v>314</v>
      </c>
      <c r="H4" s="68" t="s">
        <v>315</v>
      </c>
      <c r="I4" s="69" t="s">
        <v>4</v>
      </c>
      <c r="J4" s="68" t="s">
        <v>316</v>
      </c>
      <c r="K4" s="70" t="s">
        <v>317</v>
      </c>
      <c r="L4" s="68" t="s">
        <v>308</v>
      </c>
      <c r="M4" s="71">
        <v>5</v>
      </c>
      <c r="N4" s="72">
        <v>3</v>
      </c>
      <c r="O4" s="72">
        <v>4</v>
      </c>
      <c r="P4" s="72">
        <v>4</v>
      </c>
      <c r="Q4" s="73">
        <v>1</v>
      </c>
      <c r="R4" s="72">
        <v>4</v>
      </c>
      <c r="S4" s="71">
        <v>5</v>
      </c>
      <c r="T4" s="72">
        <v>4</v>
      </c>
      <c r="U4" s="72">
        <v>3</v>
      </c>
      <c r="V4" s="74">
        <v>20</v>
      </c>
      <c r="W4" s="74">
        <v>20</v>
      </c>
      <c r="X4" s="75" t="s">
        <v>3</v>
      </c>
      <c r="Y4" s="76" t="s">
        <v>318</v>
      </c>
      <c r="Z4" s="77">
        <v>10</v>
      </c>
      <c r="AA4" s="77" t="s">
        <v>207</v>
      </c>
      <c r="AB4" s="78" t="s">
        <v>319</v>
      </c>
      <c r="AC4" s="78" t="s">
        <v>320</v>
      </c>
      <c r="AD4" s="79" t="s">
        <v>321</v>
      </c>
      <c r="AE4" s="80">
        <v>46387</v>
      </c>
      <c r="AF4" s="81" t="s">
        <v>322</v>
      </c>
      <c r="AG4" s="17"/>
    </row>
    <row r="5" spans="1:33" ht="45" customHeight="1" x14ac:dyDescent="0.2">
      <c r="A5" s="67" t="s">
        <v>323</v>
      </c>
      <c r="B5" s="82" t="s">
        <v>324</v>
      </c>
      <c r="C5" s="82" t="s">
        <v>325</v>
      </c>
      <c r="D5" s="82" t="s">
        <v>326</v>
      </c>
      <c r="E5" s="82" t="s">
        <v>312</v>
      </c>
      <c r="F5" s="82" t="s">
        <v>313</v>
      </c>
      <c r="G5" s="82" t="s">
        <v>327</v>
      </c>
      <c r="H5" s="82" t="s">
        <v>328</v>
      </c>
      <c r="I5" s="75" t="s">
        <v>3</v>
      </c>
      <c r="J5" s="82" t="s">
        <v>329</v>
      </c>
      <c r="K5" s="83" t="s">
        <v>330</v>
      </c>
      <c r="L5" s="82" t="s">
        <v>323</v>
      </c>
      <c r="M5" s="72">
        <v>4</v>
      </c>
      <c r="N5" s="71">
        <v>5</v>
      </c>
      <c r="O5" s="72">
        <v>4</v>
      </c>
      <c r="P5" s="71">
        <v>5</v>
      </c>
      <c r="Q5" s="73">
        <v>1</v>
      </c>
      <c r="R5" s="71">
        <v>5</v>
      </c>
      <c r="S5" s="72">
        <v>4</v>
      </c>
      <c r="T5" s="71">
        <v>5</v>
      </c>
      <c r="U5" s="71">
        <v>5</v>
      </c>
      <c r="V5" s="74">
        <v>20</v>
      </c>
      <c r="W5" s="74">
        <v>20</v>
      </c>
      <c r="X5" s="75" t="s">
        <v>3</v>
      </c>
      <c r="Y5" s="82" t="s">
        <v>331</v>
      </c>
      <c r="Z5" s="77">
        <v>12</v>
      </c>
      <c r="AA5" s="77" t="s">
        <v>4</v>
      </c>
      <c r="AB5" s="77" t="s">
        <v>319</v>
      </c>
      <c r="AC5" s="77" t="s">
        <v>320</v>
      </c>
      <c r="AD5" s="84" t="s">
        <v>332</v>
      </c>
      <c r="AE5" s="85">
        <v>46368</v>
      </c>
      <c r="AF5" s="86" t="s">
        <v>322</v>
      </c>
      <c r="AG5" s="17"/>
    </row>
    <row r="6" spans="1:33" ht="45" customHeight="1" x14ac:dyDescent="0.2">
      <c r="A6" s="67" t="s">
        <v>333</v>
      </c>
      <c r="B6" s="68" t="s">
        <v>334</v>
      </c>
      <c r="C6" s="68" t="s">
        <v>335</v>
      </c>
      <c r="D6" s="68" t="s">
        <v>336</v>
      </c>
      <c r="E6" s="68" t="s">
        <v>337</v>
      </c>
      <c r="F6" s="68" t="s">
        <v>338</v>
      </c>
      <c r="G6" s="68" t="s">
        <v>339</v>
      </c>
      <c r="H6" s="68" t="s">
        <v>340</v>
      </c>
      <c r="I6" s="69" t="s">
        <v>4</v>
      </c>
      <c r="J6" s="68" t="s">
        <v>341</v>
      </c>
      <c r="K6" s="70" t="s">
        <v>342</v>
      </c>
      <c r="L6" s="68" t="s">
        <v>333</v>
      </c>
      <c r="M6" s="72">
        <v>4</v>
      </c>
      <c r="N6" s="72">
        <v>4</v>
      </c>
      <c r="O6" s="71">
        <v>5</v>
      </c>
      <c r="P6" s="72">
        <v>4</v>
      </c>
      <c r="Q6" s="73">
        <v>1</v>
      </c>
      <c r="R6" s="72">
        <v>4</v>
      </c>
      <c r="S6" s="71">
        <v>5</v>
      </c>
      <c r="T6" s="71">
        <v>5</v>
      </c>
      <c r="U6" s="72">
        <v>3</v>
      </c>
      <c r="V6" s="87">
        <v>16</v>
      </c>
      <c r="W6" s="87">
        <v>16</v>
      </c>
      <c r="X6" s="75" t="s">
        <v>3</v>
      </c>
      <c r="Y6" s="68" t="s">
        <v>343</v>
      </c>
      <c r="Z6" s="77">
        <v>8</v>
      </c>
      <c r="AA6" s="77" t="s">
        <v>207</v>
      </c>
      <c r="AB6" s="78" t="s">
        <v>319</v>
      </c>
      <c r="AC6" s="78" t="s">
        <v>320</v>
      </c>
      <c r="AD6" s="79" t="s">
        <v>344</v>
      </c>
      <c r="AE6" s="80">
        <v>46356</v>
      </c>
      <c r="AF6" s="81" t="s">
        <v>345</v>
      </c>
      <c r="AG6" s="17"/>
    </row>
    <row r="7" spans="1:33" ht="45" customHeight="1" x14ac:dyDescent="0.2">
      <c r="A7" s="67" t="s">
        <v>346</v>
      </c>
      <c r="B7" s="82" t="s">
        <v>347</v>
      </c>
      <c r="C7" s="82" t="s">
        <v>348</v>
      </c>
      <c r="D7" s="82" t="s">
        <v>349</v>
      </c>
      <c r="E7" s="82" t="s">
        <v>350</v>
      </c>
      <c r="F7" s="82" t="s">
        <v>351</v>
      </c>
      <c r="G7" s="82" t="s">
        <v>352</v>
      </c>
      <c r="H7" s="82" t="s">
        <v>353</v>
      </c>
      <c r="I7" s="69" t="s">
        <v>4</v>
      </c>
      <c r="J7" s="82" t="s">
        <v>354</v>
      </c>
      <c r="K7" s="83" t="s">
        <v>355</v>
      </c>
      <c r="L7" s="82" t="s">
        <v>346</v>
      </c>
      <c r="M7" s="72">
        <v>3</v>
      </c>
      <c r="N7" s="72">
        <v>4</v>
      </c>
      <c r="O7" s="71">
        <v>5</v>
      </c>
      <c r="P7" s="72">
        <v>4</v>
      </c>
      <c r="Q7" s="73">
        <v>1</v>
      </c>
      <c r="R7" s="72">
        <v>3</v>
      </c>
      <c r="S7" s="73">
        <v>2</v>
      </c>
      <c r="T7" s="72">
        <v>4</v>
      </c>
      <c r="U7" s="73">
        <v>2</v>
      </c>
      <c r="V7" s="87">
        <v>12</v>
      </c>
      <c r="W7" s="87">
        <v>12</v>
      </c>
      <c r="X7" s="69" t="s">
        <v>4</v>
      </c>
      <c r="Y7" s="82" t="s">
        <v>356</v>
      </c>
      <c r="Z7" s="77">
        <v>6</v>
      </c>
      <c r="AA7" s="77" t="s">
        <v>207</v>
      </c>
      <c r="AB7" s="77" t="s">
        <v>319</v>
      </c>
      <c r="AC7" s="77" t="s">
        <v>320</v>
      </c>
      <c r="AD7" s="84" t="s">
        <v>357</v>
      </c>
      <c r="AE7" s="85">
        <v>46326</v>
      </c>
      <c r="AF7" s="86" t="s">
        <v>358</v>
      </c>
      <c r="AG7" s="17"/>
    </row>
    <row r="8" spans="1:33" ht="45" customHeight="1" x14ac:dyDescent="0.2">
      <c r="A8" s="67" t="s">
        <v>359</v>
      </c>
      <c r="B8" s="68" t="s">
        <v>360</v>
      </c>
      <c r="C8" s="68" t="s">
        <v>361</v>
      </c>
      <c r="D8" s="68" t="s">
        <v>362</v>
      </c>
      <c r="E8" s="68" t="s">
        <v>363</v>
      </c>
      <c r="F8" s="68" t="s">
        <v>338</v>
      </c>
      <c r="G8" s="68" t="s">
        <v>364</v>
      </c>
      <c r="H8" s="68" t="s">
        <v>365</v>
      </c>
      <c r="I8" s="75" t="s">
        <v>3</v>
      </c>
      <c r="J8" s="68" t="s">
        <v>366</v>
      </c>
      <c r="K8" s="70" t="s">
        <v>367</v>
      </c>
      <c r="L8" s="68" t="s">
        <v>359</v>
      </c>
      <c r="M8" s="72">
        <v>3</v>
      </c>
      <c r="N8" s="71">
        <v>5</v>
      </c>
      <c r="O8" s="71">
        <v>5</v>
      </c>
      <c r="P8" s="71">
        <v>5</v>
      </c>
      <c r="Q8" s="73">
        <v>1</v>
      </c>
      <c r="R8" s="72">
        <v>3</v>
      </c>
      <c r="S8" s="71">
        <v>5</v>
      </c>
      <c r="T8" s="72">
        <v>4</v>
      </c>
      <c r="U8" s="73">
        <v>2</v>
      </c>
      <c r="V8" s="87">
        <v>15</v>
      </c>
      <c r="W8" s="87">
        <v>15</v>
      </c>
      <c r="X8" s="69" t="s">
        <v>4</v>
      </c>
      <c r="Y8" s="68" t="s">
        <v>368</v>
      </c>
      <c r="Z8" s="77">
        <v>8</v>
      </c>
      <c r="AA8" s="77" t="s">
        <v>207</v>
      </c>
      <c r="AB8" s="78" t="s">
        <v>319</v>
      </c>
      <c r="AC8" s="78" t="s">
        <v>320</v>
      </c>
      <c r="AD8" s="79" t="s">
        <v>369</v>
      </c>
      <c r="AE8" s="80">
        <v>46387</v>
      </c>
      <c r="AF8" s="81" t="s">
        <v>370</v>
      </c>
      <c r="AG8" s="17"/>
    </row>
    <row r="9" spans="1:33" ht="45" customHeight="1" x14ac:dyDescent="0.2">
      <c r="A9" s="67" t="s">
        <v>371</v>
      </c>
      <c r="B9" s="82" t="s">
        <v>372</v>
      </c>
      <c r="C9" s="82" t="s">
        <v>373</v>
      </c>
      <c r="D9" s="82" t="s">
        <v>374</v>
      </c>
      <c r="E9" s="82" t="s">
        <v>375</v>
      </c>
      <c r="F9" s="82" t="s">
        <v>376</v>
      </c>
      <c r="G9" s="82" t="s">
        <v>377</v>
      </c>
      <c r="H9" s="82" t="s">
        <v>378</v>
      </c>
      <c r="I9" s="69" t="s">
        <v>4</v>
      </c>
      <c r="J9" s="82" t="s">
        <v>379</v>
      </c>
      <c r="K9" s="83" t="s">
        <v>380</v>
      </c>
      <c r="L9" s="82" t="s">
        <v>371</v>
      </c>
      <c r="M9" s="72">
        <v>3</v>
      </c>
      <c r="N9" s="72">
        <v>4</v>
      </c>
      <c r="O9" s="72">
        <v>4</v>
      </c>
      <c r="P9" s="71">
        <v>5</v>
      </c>
      <c r="Q9" s="73">
        <v>1</v>
      </c>
      <c r="R9" s="72">
        <v>4</v>
      </c>
      <c r="S9" s="71">
        <v>5</v>
      </c>
      <c r="T9" s="72">
        <v>4</v>
      </c>
      <c r="U9" s="72">
        <v>3</v>
      </c>
      <c r="V9" s="87">
        <v>12</v>
      </c>
      <c r="W9" s="87">
        <v>12</v>
      </c>
      <c r="X9" s="69" t="s">
        <v>4</v>
      </c>
      <c r="Y9" s="82" t="s">
        <v>381</v>
      </c>
      <c r="Z9" s="77">
        <v>6</v>
      </c>
      <c r="AA9" s="77" t="s">
        <v>207</v>
      </c>
      <c r="AB9" s="77" t="s">
        <v>319</v>
      </c>
      <c r="AC9" s="77" t="s">
        <v>320</v>
      </c>
      <c r="AD9" s="84" t="s">
        <v>382</v>
      </c>
      <c r="AE9" s="85">
        <v>46295</v>
      </c>
      <c r="AF9" s="86" t="s">
        <v>383</v>
      </c>
      <c r="AG9" s="17"/>
    </row>
    <row r="10" spans="1:33" ht="45" customHeight="1" x14ac:dyDescent="0.2">
      <c r="A10" s="67" t="s">
        <v>384</v>
      </c>
      <c r="B10" s="68" t="s">
        <v>385</v>
      </c>
      <c r="C10" s="68" t="s">
        <v>386</v>
      </c>
      <c r="D10" s="68" t="s">
        <v>387</v>
      </c>
      <c r="E10" s="68" t="s">
        <v>388</v>
      </c>
      <c r="F10" s="68" t="s">
        <v>293</v>
      </c>
      <c r="G10" s="68" t="s">
        <v>389</v>
      </c>
      <c r="H10" s="68" t="s">
        <v>390</v>
      </c>
      <c r="I10" s="69" t="s">
        <v>4</v>
      </c>
      <c r="J10" s="68" t="s">
        <v>391</v>
      </c>
      <c r="K10" s="70" t="s">
        <v>392</v>
      </c>
      <c r="L10" s="68" t="s">
        <v>384</v>
      </c>
      <c r="M10" s="72">
        <v>3</v>
      </c>
      <c r="N10" s="72">
        <v>4</v>
      </c>
      <c r="O10" s="72">
        <v>3</v>
      </c>
      <c r="P10" s="72">
        <v>3</v>
      </c>
      <c r="Q10" s="73">
        <v>1</v>
      </c>
      <c r="R10" s="71">
        <v>5</v>
      </c>
      <c r="S10" s="73">
        <v>2</v>
      </c>
      <c r="T10" s="72">
        <v>4</v>
      </c>
      <c r="U10" s="71">
        <v>5</v>
      </c>
      <c r="V10" s="87">
        <v>12</v>
      </c>
      <c r="W10" s="87">
        <v>12</v>
      </c>
      <c r="X10" s="69" t="s">
        <v>4</v>
      </c>
      <c r="Y10" s="68" t="s">
        <v>393</v>
      </c>
      <c r="Z10" s="77">
        <v>6</v>
      </c>
      <c r="AA10" s="77" t="s">
        <v>207</v>
      </c>
      <c r="AB10" s="78" t="s">
        <v>319</v>
      </c>
      <c r="AC10" s="78" t="s">
        <v>320</v>
      </c>
      <c r="AD10" s="79" t="s">
        <v>394</v>
      </c>
      <c r="AE10" s="80">
        <v>46356</v>
      </c>
      <c r="AF10" s="81" t="s">
        <v>395</v>
      </c>
      <c r="AG10" s="17"/>
    </row>
    <row r="11" spans="1:33" ht="45" customHeight="1" x14ac:dyDescent="0.2">
      <c r="A11" s="67" t="s">
        <v>396</v>
      </c>
      <c r="B11" s="82" t="s">
        <v>397</v>
      </c>
      <c r="C11" s="82" t="s">
        <v>398</v>
      </c>
      <c r="D11" s="82" t="s">
        <v>399</v>
      </c>
      <c r="E11" s="82" t="s">
        <v>400</v>
      </c>
      <c r="F11" s="82" t="s">
        <v>338</v>
      </c>
      <c r="G11" s="82" t="s">
        <v>401</v>
      </c>
      <c r="H11" s="82" t="s">
        <v>402</v>
      </c>
      <c r="I11" s="69" t="s">
        <v>4</v>
      </c>
      <c r="J11" s="82" t="s">
        <v>403</v>
      </c>
      <c r="K11" s="83" t="s">
        <v>404</v>
      </c>
      <c r="L11" s="82" t="s">
        <v>396</v>
      </c>
      <c r="M11" s="72">
        <v>3</v>
      </c>
      <c r="N11" s="72">
        <v>4</v>
      </c>
      <c r="O11" s="72">
        <v>4</v>
      </c>
      <c r="P11" s="72">
        <v>4</v>
      </c>
      <c r="Q11" s="73">
        <v>1</v>
      </c>
      <c r="R11" s="72">
        <v>4</v>
      </c>
      <c r="S11" s="71">
        <v>5</v>
      </c>
      <c r="T11" s="72">
        <v>4</v>
      </c>
      <c r="U11" s="72">
        <v>3</v>
      </c>
      <c r="V11" s="87">
        <v>12</v>
      </c>
      <c r="W11" s="87">
        <v>12</v>
      </c>
      <c r="X11" s="69" t="s">
        <v>4</v>
      </c>
      <c r="Y11" s="82" t="s">
        <v>405</v>
      </c>
      <c r="Z11" s="77">
        <v>6</v>
      </c>
      <c r="AA11" s="77" t="s">
        <v>207</v>
      </c>
      <c r="AB11" s="77" t="s">
        <v>319</v>
      </c>
      <c r="AC11" s="77" t="s">
        <v>320</v>
      </c>
      <c r="AD11" s="84" t="s">
        <v>406</v>
      </c>
      <c r="AE11" s="85">
        <v>46387</v>
      </c>
      <c r="AF11" s="86" t="s">
        <v>407</v>
      </c>
      <c r="AG11" s="17"/>
    </row>
    <row r="12" spans="1:33" ht="45" customHeight="1" x14ac:dyDescent="0.2">
      <c r="A12" s="67" t="s">
        <v>408</v>
      </c>
      <c r="B12" s="68" t="s">
        <v>409</v>
      </c>
      <c r="C12" s="68" t="s">
        <v>410</v>
      </c>
      <c r="D12" s="68" t="s">
        <v>411</v>
      </c>
      <c r="E12" s="68" t="s">
        <v>412</v>
      </c>
      <c r="F12" s="68" t="s">
        <v>313</v>
      </c>
      <c r="G12" s="68" t="s">
        <v>413</v>
      </c>
      <c r="H12" s="68" t="s">
        <v>414</v>
      </c>
      <c r="I12" s="75" t="s">
        <v>3</v>
      </c>
      <c r="J12" s="68" t="s">
        <v>415</v>
      </c>
      <c r="K12" s="70" t="s">
        <v>416</v>
      </c>
      <c r="L12" s="68" t="s">
        <v>408</v>
      </c>
      <c r="M12" s="72">
        <v>4</v>
      </c>
      <c r="N12" s="72">
        <v>4</v>
      </c>
      <c r="O12" s="72">
        <v>4</v>
      </c>
      <c r="P12" s="72">
        <v>4</v>
      </c>
      <c r="Q12" s="73">
        <v>1</v>
      </c>
      <c r="R12" s="71">
        <v>5</v>
      </c>
      <c r="S12" s="71">
        <v>5</v>
      </c>
      <c r="T12" s="71">
        <v>5</v>
      </c>
      <c r="U12" s="72">
        <v>4</v>
      </c>
      <c r="V12" s="87">
        <v>16</v>
      </c>
      <c r="W12" s="87">
        <v>16</v>
      </c>
      <c r="X12" s="75" t="s">
        <v>3</v>
      </c>
      <c r="Y12" s="68" t="s">
        <v>417</v>
      </c>
      <c r="Z12" s="77">
        <v>8</v>
      </c>
      <c r="AA12" s="77" t="s">
        <v>207</v>
      </c>
      <c r="AB12" s="78" t="s">
        <v>319</v>
      </c>
      <c r="AC12" s="78" t="s">
        <v>320</v>
      </c>
      <c r="AD12" s="79" t="s">
        <v>418</v>
      </c>
      <c r="AE12" s="80">
        <v>46326</v>
      </c>
      <c r="AF12" s="81" t="s">
        <v>419</v>
      </c>
      <c r="AG12" s="17"/>
    </row>
    <row r="13" spans="1:33" ht="45" customHeight="1" x14ac:dyDescent="0.2">
      <c r="A13" s="67" t="s">
        <v>420</v>
      </c>
      <c r="B13" s="82" t="s">
        <v>421</v>
      </c>
      <c r="C13" s="82" t="s">
        <v>422</v>
      </c>
      <c r="D13" s="82" t="s">
        <v>423</v>
      </c>
      <c r="E13" s="82" t="s">
        <v>312</v>
      </c>
      <c r="F13" s="82" t="s">
        <v>293</v>
      </c>
      <c r="G13" s="82" t="s">
        <v>424</v>
      </c>
      <c r="H13" s="82" t="s">
        <v>425</v>
      </c>
      <c r="I13" s="69" t="s">
        <v>4</v>
      </c>
      <c r="J13" s="82" t="s">
        <v>426</v>
      </c>
      <c r="K13" s="83" t="s">
        <v>427</v>
      </c>
      <c r="L13" s="82" t="s">
        <v>420</v>
      </c>
      <c r="M13" s="72">
        <v>3</v>
      </c>
      <c r="N13" s="72">
        <v>4</v>
      </c>
      <c r="O13" s="72">
        <v>4</v>
      </c>
      <c r="P13" s="72">
        <v>4</v>
      </c>
      <c r="Q13" s="73">
        <v>1</v>
      </c>
      <c r="R13" s="71">
        <v>5</v>
      </c>
      <c r="S13" s="72">
        <v>4</v>
      </c>
      <c r="T13" s="72">
        <v>4</v>
      </c>
      <c r="U13" s="71">
        <v>5</v>
      </c>
      <c r="V13" s="87">
        <v>12</v>
      </c>
      <c r="W13" s="87">
        <v>12</v>
      </c>
      <c r="X13" s="69" t="s">
        <v>4</v>
      </c>
      <c r="Y13" s="82" t="s">
        <v>428</v>
      </c>
      <c r="Z13" s="77">
        <v>6</v>
      </c>
      <c r="AA13" s="77" t="s">
        <v>207</v>
      </c>
      <c r="AB13" s="77" t="s">
        <v>319</v>
      </c>
      <c r="AC13" s="77" t="s">
        <v>320</v>
      </c>
      <c r="AD13" s="84" t="s">
        <v>429</v>
      </c>
      <c r="AE13" s="85">
        <v>46387</v>
      </c>
      <c r="AF13" s="86" t="s">
        <v>322</v>
      </c>
      <c r="AG13" s="17"/>
    </row>
    <row r="14" spans="1:33" ht="45" customHeight="1" x14ac:dyDescent="0.2">
      <c r="A14" s="67" t="s">
        <v>430</v>
      </c>
      <c r="B14" s="68" t="s">
        <v>334</v>
      </c>
      <c r="C14" s="68" t="s">
        <v>431</v>
      </c>
      <c r="D14" s="68" t="s">
        <v>432</v>
      </c>
      <c r="E14" s="68" t="s">
        <v>337</v>
      </c>
      <c r="F14" s="68" t="s">
        <v>338</v>
      </c>
      <c r="G14" s="68" t="s">
        <v>433</v>
      </c>
      <c r="H14" s="68" t="s">
        <v>434</v>
      </c>
      <c r="I14" s="69" t="s">
        <v>4</v>
      </c>
      <c r="J14" s="68" t="s">
        <v>435</v>
      </c>
      <c r="K14" s="70" t="s">
        <v>436</v>
      </c>
      <c r="L14" s="68" t="s">
        <v>430</v>
      </c>
      <c r="M14" s="72">
        <v>4</v>
      </c>
      <c r="N14" s="72">
        <v>4</v>
      </c>
      <c r="O14" s="72">
        <v>4</v>
      </c>
      <c r="P14" s="72">
        <v>4</v>
      </c>
      <c r="Q14" s="73">
        <v>1</v>
      </c>
      <c r="R14" s="72">
        <v>3</v>
      </c>
      <c r="S14" s="71">
        <v>5</v>
      </c>
      <c r="T14" s="72">
        <v>4</v>
      </c>
      <c r="U14" s="72">
        <v>3</v>
      </c>
      <c r="V14" s="87">
        <v>16</v>
      </c>
      <c r="W14" s="87">
        <v>16</v>
      </c>
      <c r="X14" s="75" t="s">
        <v>3</v>
      </c>
      <c r="Y14" s="68" t="s">
        <v>437</v>
      </c>
      <c r="Z14" s="77">
        <v>8</v>
      </c>
      <c r="AA14" s="77" t="s">
        <v>207</v>
      </c>
      <c r="AB14" s="78" t="s">
        <v>319</v>
      </c>
      <c r="AC14" s="78" t="s">
        <v>320</v>
      </c>
      <c r="AD14" s="79" t="s">
        <v>438</v>
      </c>
      <c r="AE14" s="80">
        <v>46387</v>
      </c>
      <c r="AF14" s="81" t="s">
        <v>345</v>
      </c>
      <c r="AG14" s="17"/>
    </row>
    <row r="15" spans="1:33" ht="45" customHeight="1" x14ac:dyDescent="0.2">
      <c r="A15" s="67" t="s">
        <v>439</v>
      </c>
      <c r="B15" s="82" t="s">
        <v>440</v>
      </c>
      <c r="C15" s="82" t="s">
        <v>441</v>
      </c>
      <c r="D15" s="82" t="s">
        <v>423</v>
      </c>
      <c r="E15" s="82" t="s">
        <v>312</v>
      </c>
      <c r="F15" s="82" t="s">
        <v>313</v>
      </c>
      <c r="G15" s="82" t="s">
        <v>442</v>
      </c>
      <c r="H15" s="82" t="s">
        <v>443</v>
      </c>
      <c r="I15" s="69" t="s">
        <v>4</v>
      </c>
      <c r="J15" s="82" t="s">
        <v>444</v>
      </c>
      <c r="K15" s="83" t="s">
        <v>445</v>
      </c>
      <c r="L15" s="82" t="s">
        <v>439</v>
      </c>
      <c r="M15" s="72">
        <v>3</v>
      </c>
      <c r="N15" s="72">
        <v>4</v>
      </c>
      <c r="O15" s="72">
        <v>4</v>
      </c>
      <c r="P15" s="72">
        <v>4</v>
      </c>
      <c r="Q15" s="73">
        <v>1</v>
      </c>
      <c r="R15" s="71">
        <v>5</v>
      </c>
      <c r="S15" s="72">
        <v>4</v>
      </c>
      <c r="T15" s="72">
        <v>4</v>
      </c>
      <c r="U15" s="71">
        <v>5</v>
      </c>
      <c r="V15" s="87">
        <v>12</v>
      </c>
      <c r="W15" s="87">
        <v>12</v>
      </c>
      <c r="X15" s="69" t="s">
        <v>4</v>
      </c>
      <c r="Y15" s="82" t="s">
        <v>446</v>
      </c>
      <c r="Z15" s="77">
        <v>6</v>
      </c>
      <c r="AA15" s="77" t="s">
        <v>207</v>
      </c>
      <c r="AB15" s="77" t="s">
        <v>319</v>
      </c>
      <c r="AC15" s="77" t="s">
        <v>320</v>
      </c>
      <c r="AD15" s="84" t="s">
        <v>447</v>
      </c>
      <c r="AE15" s="85">
        <v>46356</v>
      </c>
      <c r="AF15" s="86" t="s">
        <v>322</v>
      </c>
      <c r="AG15" s="17"/>
    </row>
    <row r="16" spans="1:33" ht="45" customHeight="1" x14ac:dyDescent="0.2">
      <c r="A16" s="67" t="s">
        <v>448</v>
      </c>
      <c r="B16" s="68" t="s">
        <v>449</v>
      </c>
      <c r="C16" s="68" t="s">
        <v>450</v>
      </c>
      <c r="D16" s="68" t="s">
        <v>451</v>
      </c>
      <c r="E16" s="68" t="s">
        <v>350</v>
      </c>
      <c r="F16" s="68" t="s">
        <v>351</v>
      </c>
      <c r="G16" s="68" t="s">
        <v>452</v>
      </c>
      <c r="H16" s="68" t="s">
        <v>453</v>
      </c>
      <c r="I16" s="69" t="s">
        <v>4</v>
      </c>
      <c r="J16" s="68" t="s">
        <v>454</v>
      </c>
      <c r="K16" s="70" t="s">
        <v>455</v>
      </c>
      <c r="L16" s="68" t="s">
        <v>448</v>
      </c>
      <c r="M16" s="72">
        <v>3</v>
      </c>
      <c r="N16" s="72">
        <v>3</v>
      </c>
      <c r="O16" s="71">
        <v>5</v>
      </c>
      <c r="P16" s="72">
        <v>4</v>
      </c>
      <c r="Q16" s="73">
        <v>1</v>
      </c>
      <c r="R16" s="72">
        <v>3</v>
      </c>
      <c r="S16" s="72">
        <v>4</v>
      </c>
      <c r="T16" s="72">
        <v>3</v>
      </c>
      <c r="U16" s="73">
        <v>2</v>
      </c>
      <c r="V16" s="87">
        <v>12</v>
      </c>
      <c r="W16" s="87">
        <v>12</v>
      </c>
      <c r="X16" s="69" t="s">
        <v>4</v>
      </c>
      <c r="Y16" s="68" t="s">
        <v>456</v>
      </c>
      <c r="Z16" s="77">
        <v>6</v>
      </c>
      <c r="AA16" s="77" t="s">
        <v>207</v>
      </c>
      <c r="AB16" s="78" t="s">
        <v>319</v>
      </c>
      <c r="AC16" s="78" t="s">
        <v>320</v>
      </c>
      <c r="AD16" s="79" t="s">
        <v>457</v>
      </c>
      <c r="AE16" s="80">
        <v>46326</v>
      </c>
      <c r="AF16" s="81" t="s">
        <v>358</v>
      </c>
      <c r="AG16" s="17"/>
    </row>
    <row r="17" spans="1:33" ht="45" customHeight="1" x14ac:dyDescent="0.2">
      <c r="A17" s="67" t="s">
        <v>458</v>
      </c>
      <c r="B17" s="82" t="s">
        <v>459</v>
      </c>
      <c r="C17" s="82" t="s">
        <v>460</v>
      </c>
      <c r="D17" s="82" t="s">
        <v>461</v>
      </c>
      <c r="E17" s="82" t="s">
        <v>388</v>
      </c>
      <c r="F17" s="82" t="s">
        <v>385</v>
      </c>
      <c r="G17" s="82" t="s">
        <v>462</v>
      </c>
      <c r="H17" s="82" t="s">
        <v>463</v>
      </c>
      <c r="I17" s="75" t="s">
        <v>3</v>
      </c>
      <c r="J17" s="82" t="s">
        <v>464</v>
      </c>
      <c r="K17" s="83" t="s">
        <v>465</v>
      </c>
      <c r="L17" s="82" t="s">
        <v>458</v>
      </c>
      <c r="M17" s="72">
        <v>3</v>
      </c>
      <c r="N17" s="71">
        <v>5</v>
      </c>
      <c r="O17" s="72">
        <v>4</v>
      </c>
      <c r="P17" s="71">
        <v>5</v>
      </c>
      <c r="Q17" s="73">
        <v>1</v>
      </c>
      <c r="R17" s="71">
        <v>5</v>
      </c>
      <c r="S17" s="72">
        <v>3</v>
      </c>
      <c r="T17" s="72">
        <v>4</v>
      </c>
      <c r="U17" s="71">
        <v>5</v>
      </c>
      <c r="V17" s="87">
        <v>15</v>
      </c>
      <c r="W17" s="87">
        <v>15</v>
      </c>
      <c r="X17" s="69" t="s">
        <v>4</v>
      </c>
      <c r="Y17" s="82" t="s">
        <v>466</v>
      </c>
      <c r="Z17" s="77">
        <v>8</v>
      </c>
      <c r="AA17" s="77" t="s">
        <v>207</v>
      </c>
      <c r="AB17" s="77" t="s">
        <v>319</v>
      </c>
      <c r="AC17" s="77" t="s">
        <v>320</v>
      </c>
      <c r="AD17" s="84" t="s">
        <v>467</v>
      </c>
      <c r="AE17" s="85">
        <v>46387</v>
      </c>
      <c r="AF17" s="86" t="s">
        <v>468</v>
      </c>
      <c r="AG17" s="17"/>
    </row>
    <row r="18" spans="1:33" ht="45" customHeight="1" x14ac:dyDescent="0.2">
      <c r="A18" s="67" t="s">
        <v>469</v>
      </c>
      <c r="B18" s="68" t="s">
        <v>470</v>
      </c>
      <c r="C18" s="68" t="s">
        <v>471</v>
      </c>
      <c r="D18" s="68" t="s">
        <v>472</v>
      </c>
      <c r="E18" s="68" t="s">
        <v>388</v>
      </c>
      <c r="F18" s="68" t="s">
        <v>293</v>
      </c>
      <c r="G18" s="68" t="s">
        <v>473</v>
      </c>
      <c r="H18" s="68" t="s">
        <v>474</v>
      </c>
      <c r="I18" s="69" t="s">
        <v>4</v>
      </c>
      <c r="J18" s="68" t="s">
        <v>475</v>
      </c>
      <c r="K18" s="70" t="s">
        <v>476</v>
      </c>
      <c r="L18" s="68" t="s">
        <v>469</v>
      </c>
      <c r="M18" s="72">
        <v>3</v>
      </c>
      <c r="N18" s="72">
        <v>3</v>
      </c>
      <c r="O18" s="72">
        <v>3</v>
      </c>
      <c r="P18" s="72">
        <v>3</v>
      </c>
      <c r="Q18" s="73">
        <v>1</v>
      </c>
      <c r="R18" s="71">
        <v>5</v>
      </c>
      <c r="S18" s="73">
        <v>2</v>
      </c>
      <c r="T18" s="71">
        <v>5</v>
      </c>
      <c r="U18" s="72">
        <v>4</v>
      </c>
      <c r="V18" s="88">
        <v>9</v>
      </c>
      <c r="W18" s="88">
        <v>9</v>
      </c>
      <c r="X18" s="71" t="s">
        <v>207</v>
      </c>
      <c r="Y18" s="68" t="s">
        <v>477</v>
      </c>
      <c r="Z18" s="77">
        <v>4</v>
      </c>
      <c r="AA18" s="77" t="s">
        <v>203</v>
      </c>
      <c r="AB18" s="78" t="s">
        <v>319</v>
      </c>
      <c r="AC18" s="78" t="s">
        <v>320</v>
      </c>
      <c r="AD18" s="79" t="s">
        <v>478</v>
      </c>
      <c r="AE18" s="80">
        <v>46295</v>
      </c>
      <c r="AF18" s="81" t="s">
        <v>479</v>
      </c>
      <c r="AG18" s="17"/>
    </row>
    <row r="19" spans="1:33" ht="45" customHeight="1" x14ac:dyDescent="0.2">
      <c r="A19" s="67" t="s">
        <v>480</v>
      </c>
      <c r="B19" s="82" t="s">
        <v>481</v>
      </c>
      <c r="C19" s="82" t="s">
        <v>482</v>
      </c>
      <c r="D19" s="82" t="s">
        <v>362</v>
      </c>
      <c r="E19" s="82" t="s">
        <v>483</v>
      </c>
      <c r="F19" s="82" t="s">
        <v>338</v>
      </c>
      <c r="G19" s="82" t="s">
        <v>364</v>
      </c>
      <c r="H19" s="82" t="s">
        <v>484</v>
      </c>
      <c r="I19" s="75" t="s">
        <v>3</v>
      </c>
      <c r="J19" s="82" t="s">
        <v>485</v>
      </c>
      <c r="K19" s="83" t="s">
        <v>486</v>
      </c>
      <c r="L19" s="82" t="s">
        <v>480</v>
      </c>
      <c r="M19" s="72">
        <v>3</v>
      </c>
      <c r="N19" s="71">
        <v>5</v>
      </c>
      <c r="O19" s="71">
        <v>5</v>
      </c>
      <c r="P19" s="71">
        <v>5</v>
      </c>
      <c r="Q19" s="73">
        <v>1</v>
      </c>
      <c r="R19" s="72">
        <v>3</v>
      </c>
      <c r="S19" s="71">
        <v>5</v>
      </c>
      <c r="T19" s="72">
        <v>4</v>
      </c>
      <c r="U19" s="73">
        <v>2</v>
      </c>
      <c r="V19" s="87">
        <v>15</v>
      </c>
      <c r="W19" s="87">
        <v>15</v>
      </c>
      <c r="X19" s="69" t="s">
        <v>4</v>
      </c>
      <c r="Y19" s="82" t="s">
        <v>487</v>
      </c>
      <c r="Z19" s="77">
        <v>8</v>
      </c>
      <c r="AA19" s="77" t="s">
        <v>207</v>
      </c>
      <c r="AB19" s="77" t="s">
        <v>319</v>
      </c>
      <c r="AC19" s="77" t="s">
        <v>320</v>
      </c>
      <c r="AD19" s="84" t="s">
        <v>488</v>
      </c>
      <c r="AE19" s="85">
        <v>46387</v>
      </c>
      <c r="AF19" s="86" t="s">
        <v>489</v>
      </c>
      <c r="AG19" s="17"/>
    </row>
    <row r="20" spans="1:33" ht="45" customHeight="1" x14ac:dyDescent="0.2">
      <c r="A20" s="67" t="s">
        <v>490</v>
      </c>
      <c r="B20" s="68" t="s">
        <v>335</v>
      </c>
      <c r="C20" s="68" t="s">
        <v>491</v>
      </c>
      <c r="D20" s="68" t="s">
        <v>336</v>
      </c>
      <c r="E20" s="68" t="s">
        <v>337</v>
      </c>
      <c r="F20" s="68" t="s">
        <v>338</v>
      </c>
      <c r="G20" s="68" t="s">
        <v>492</v>
      </c>
      <c r="H20" s="68" t="s">
        <v>493</v>
      </c>
      <c r="I20" s="69" t="s">
        <v>4</v>
      </c>
      <c r="J20" s="68" t="s">
        <v>494</v>
      </c>
      <c r="K20" s="70" t="s">
        <v>495</v>
      </c>
      <c r="L20" s="68" t="s">
        <v>490</v>
      </c>
      <c r="M20" s="72">
        <v>3</v>
      </c>
      <c r="N20" s="72">
        <v>4</v>
      </c>
      <c r="O20" s="72">
        <v>4</v>
      </c>
      <c r="P20" s="72">
        <v>4</v>
      </c>
      <c r="Q20" s="73">
        <v>1</v>
      </c>
      <c r="R20" s="72">
        <v>4</v>
      </c>
      <c r="S20" s="71">
        <v>5</v>
      </c>
      <c r="T20" s="71">
        <v>5</v>
      </c>
      <c r="U20" s="72">
        <v>3</v>
      </c>
      <c r="V20" s="87">
        <v>12</v>
      </c>
      <c r="W20" s="87">
        <v>12</v>
      </c>
      <c r="X20" s="69" t="s">
        <v>4</v>
      </c>
      <c r="Y20" s="68" t="s">
        <v>496</v>
      </c>
      <c r="Z20" s="77">
        <v>6</v>
      </c>
      <c r="AA20" s="77" t="s">
        <v>207</v>
      </c>
      <c r="AB20" s="78" t="s">
        <v>319</v>
      </c>
      <c r="AC20" s="78" t="s">
        <v>320</v>
      </c>
      <c r="AD20" s="79" t="s">
        <v>497</v>
      </c>
      <c r="AE20" s="80">
        <v>46387</v>
      </c>
      <c r="AF20" s="81" t="s">
        <v>345</v>
      </c>
      <c r="AG20" s="17"/>
    </row>
    <row r="21" spans="1:33" ht="45" customHeight="1" x14ac:dyDescent="0.2">
      <c r="A21" s="67" t="s">
        <v>498</v>
      </c>
      <c r="B21" s="82" t="s">
        <v>409</v>
      </c>
      <c r="C21" s="82" t="s">
        <v>499</v>
      </c>
      <c r="D21" s="82" t="s">
        <v>500</v>
      </c>
      <c r="E21" s="82" t="s">
        <v>501</v>
      </c>
      <c r="F21" s="82" t="s">
        <v>313</v>
      </c>
      <c r="G21" s="82" t="s">
        <v>502</v>
      </c>
      <c r="H21" s="82" t="s">
        <v>503</v>
      </c>
      <c r="I21" s="69" t="s">
        <v>4</v>
      </c>
      <c r="J21" s="82" t="s">
        <v>504</v>
      </c>
      <c r="K21" s="83" t="s">
        <v>505</v>
      </c>
      <c r="L21" s="82" t="s">
        <v>498</v>
      </c>
      <c r="M21" s="72">
        <v>4</v>
      </c>
      <c r="N21" s="72">
        <v>4</v>
      </c>
      <c r="O21" s="72">
        <v>4</v>
      </c>
      <c r="P21" s="72">
        <v>4</v>
      </c>
      <c r="Q21" s="73">
        <v>1</v>
      </c>
      <c r="R21" s="72">
        <v>4</v>
      </c>
      <c r="S21" s="71">
        <v>5</v>
      </c>
      <c r="T21" s="71">
        <v>5</v>
      </c>
      <c r="U21" s="72">
        <v>4</v>
      </c>
      <c r="V21" s="87">
        <v>16</v>
      </c>
      <c r="W21" s="87">
        <v>16</v>
      </c>
      <c r="X21" s="75" t="s">
        <v>3</v>
      </c>
      <c r="Y21" s="82" t="s">
        <v>417</v>
      </c>
      <c r="Z21" s="77">
        <v>8</v>
      </c>
      <c r="AA21" s="77" t="s">
        <v>207</v>
      </c>
      <c r="AB21" s="77" t="s">
        <v>319</v>
      </c>
      <c r="AC21" s="77" t="s">
        <v>320</v>
      </c>
      <c r="AD21" s="84" t="s">
        <v>506</v>
      </c>
      <c r="AE21" s="85">
        <v>46326</v>
      </c>
      <c r="AF21" s="86" t="s">
        <v>419</v>
      </c>
      <c r="AG21" s="17"/>
    </row>
    <row r="22" spans="1:33" ht="45" customHeight="1" x14ac:dyDescent="0.2">
      <c r="A22" s="67" t="s">
        <v>507</v>
      </c>
      <c r="B22" s="68" t="s">
        <v>508</v>
      </c>
      <c r="C22" s="68" t="s">
        <v>509</v>
      </c>
      <c r="D22" s="68" t="s">
        <v>510</v>
      </c>
      <c r="E22" s="68" t="s">
        <v>511</v>
      </c>
      <c r="F22" s="68" t="s">
        <v>512</v>
      </c>
      <c r="G22" s="68" t="s">
        <v>513</v>
      </c>
      <c r="H22" s="68" t="s">
        <v>514</v>
      </c>
      <c r="I22" s="69" t="s">
        <v>4</v>
      </c>
      <c r="J22" s="68" t="s">
        <v>515</v>
      </c>
      <c r="K22" s="70" t="s">
        <v>516</v>
      </c>
      <c r="L22" s="68" t="s">
        <v>507</v>
      </c>
      <c r="M22" s="72">
        <v>4</v>
      </c>
      <c r="N22" s="72">
        <v>3</v>
      </c>
      <c r="O22" s="72">
        <v>3</v>
      </c>
      <c r="P22" s="72">
        <v>4</v>
      </c>
      <c r="Q22" s="73">
        <v>1</v>
      </c>
      <c r="R22" s="72">
        <v>4</v>
      </c>
      <c r="S22" s="72">
        <v>4</v>
      </c>
      <c r="T22" s="72">
        <v>3</v>
      </c>
      <c r="U22" s="72">
        <v>3</v>
      </c>
      <c r="V22" s="87">
        <v>12</v>
      </c>
      <c r="W22" s="87">
        <v>12</v>
      </c>
      <c r="X22" s="69" t="s">
        <v>4</v>
      </c>
      <c r="Y22" s="68" t="s">
        <v>517</v>
      </c>
      <c r="Z22" s="77">
        <v>6</v>
      </c>
      <c r="AA22" s="77" t="s">
        <v>207</v>
      </c>
      <c r="AB22" s="78" t="s">
        <v>319</v>
      </c>
      <c r="AC22" s="78" t="s">
        <v>320</v>
      </c>
      <c r="AD22" s="79" t="s">
        <v>518</v>
      </c>
      <c r="AE22" s="80">
        <v>46387</v>
      </c>
      <c r="AF22" s="81" t="s">
        <v>519</v>
      </c>
      <c r="AG22" s="17"/>
    </row>
    <row r="23" spans="1:33" ht="45" customHeight="1" x14ac:dyDescent="0.2">
      <c r="A23" s="67" t="s">
        <v>520</v>
      </c>
      <c r="B23" s="82" t="s">
        <v>372</v>
      </c>
      <c r="C23" s="82" t="s">
        <v>521</v>
      </c>
      <c r="D23" s="82" t="s">
        <v>522</v>
      </c>
      <c r="E23" s="82" t="s">
        <v>375</v>
      </c>
      <c r="F23" s="82" t="s">
        <v>376</v>
      </c>
      <c r="G23" s="82" t="s">
        <v>523</v>
      </c>
      <c r="H23" s="82" t="s">
        <v>524</v>
      </c>
      <c r="I23" s="69" t="s">
        <v>4</v>
      </c>
      <c r="J23" s="82" t="s">
        <v>525</v>
      </c>
      <c r="K23" s="83" t="s">
        <v>526</v>
      </c>
      <c r="L23" s="82" t="s">
        <v>520</v>
      </c>
      <c r="M23" s="72">
        <v>3</v>
      </c>
      <c r="N23" s="72">
        <v>4</v>
      </c>
      <c r="O23" s="71">
        <v>5</v>
      </c>
      <c r="P23" s="71">
        <v>5</v>
      </c>
      <c r="Q23" s="73">
        <v>1</v>
      </c>
      <c r="R23" s="72">
        <v>3</v>
      </c>
      <c r="S23" s="71">
        <v>5</v>
      </c>
      <c r="T23" s="72">
        <v>4</v>
      </c>
      <c r="U23" s="73">
        <v>2</v>
      </c>
      <c r="V23" s="87">
        <v>12</v>
      </c>
      <c r="W23" s="87">
        <v>12</v>
      </c>
      <c r="X23" s="69" t="s">
        <v>4</v>
      </c>
      <c r="Y23" s="82" t="s">
        <v>527</v>
      </c>
      <c r="Z23" s="77">
        <v>6</v>
      </c>
      <c r="AA23" s="77" t="s">
        <v>207</v>
      </c>
      <c r="AB23" s="77" t="s">
        <v>319</v>
      </c>
      <c r="AC23" s="77" t="s">
        <v>320</v>
      </c>
      <c r="AD23" s="84" t="s">
        <v>528</v>
      </c>
      <c r="AE23" s="85">
        <v>46387</v>
      </c>
      <c r="AF23" s="86" t="s">
        <v>529</v>
      </c>
      <c r="AG23" s="17"/>
    </row>
    <row r="24" spans="1:33" ht="45" customHeight="1" x14ac:dyDescent="0.2">
      <c r="A24" s="67" t="s">
        <v>530</v>
      </c>
      <c r="B24" s="68" t="s">
        <v>531</v>
      </c>
      <c r="C24" s="68" t="s">
        <v>532</v>
      </c>
      <c r="D24" s="68" t="s">
        <v>533</v>
      </c>
      <c r="E24" s="68" t="s">
        <v>534</v>
      </c>
      <c r="F24" s="68" t="s">
        <v>535</v>
      </c>
      <c r="G24" s="68" t="s">
        <v>536</v>
      </c>
      <c r="H24" s="68" t="s">
        <v>537</v>
      </c>
      <c r="I24" s="75" t="s">
        <v>3</v>
      </c>
      <c r="J24" s="68" t="s">
        <v>538</v>
      </c>
      <c r="K24" s="70" t="s">
        <v>539</v>
      </c>
      <c r="L24" s="68" t="s">
        <v>530</v>
      </c>
      <c r="M24" s="72">
        <v>4</v>
      </c>
      <c r="N24" s="71">
        <v>5</v>
      </c>
      <c r="O24" s="71">
        <v>5</v>
      </c>
      <c r="P24" s="71">
        <v>5</v>
      </c>
      <c r="Q24" s="73">
        <v>1</v>
      </c>
      <c r="R24" s="72">
        <v>4</v>
      </c>
      <c r="S24" s="71">
        <v>5</v>
      </c>
      <c r="T24" s="72">
        <v>4</v>
      </c>
      <c r="U24" s="72">
        <v>3</v>
      </c>
      <c r="V24" s="74">
        <v>20</v>
      </c>
      <c r="W24" s="74">
        <v>20</v>
      </c>
      <c r="X24" s="75" t="s">
        <v>3</v>
      </c>
      <c r="Y24" s="68" t="s">
        <v>540</v>
      </c>
      <c r="Z24" s="77">
        <v>10</v>
      </c>
      <c r="AA24" s="77" t="s">
        <v>4</v>
      </c>
      <c r="AB24" s="78" t="s">
        <v>319</v>
      </c>
      <c r="AC24" s="78" t="s">
        <v>320</v>
      </c>
      <c r="AD24" s="79" t="s">
        <v>541</v>
      </c>
      <c r="AE24" s="80">
        <v>46387</v>
      </c>
      <c r="AF24" s="81" t="s">
        <v>542</v>
      </c>
      <c r="AG24" s="17"/>
    </row>
    <row r="25" spans="1:33" ht="45" customHeight="1" x14ac:dyDescent="0.2">
      <c r="A25" s="67" t="s">
        <v>543</v>
      </c>
      <c r="B25" s="82" t="s">
        <v>544</v>
      </c>
      <c r="C25" s="82" t="s">
        <v>545</v>
      </c>
      <c r="D25" s="82" t="s">
        <v>546</v>
      </c>
      <c r="E25" s="82" t="s">
        <v>547</v>
      </c>
      <c r="F25" s="82" t="s">
        <v>548</v>
      </c>
      <c r="G25" s="82" t="s">
        <v>549</v>
      </c>
      <c r="H25" s="82" t="s">
        <v>550</v>
      </c>
      <c r="I25" s="69" t="s">
        <v>4</v>
      </c>
      <c r="J25" s="82" t="s">
        <v>551</v>
      </c>
      <c r="K25" s="83" t="s">
        <v>552</v>
      </c>
      <c r="L25" s="82" t="s">
        <v>543</v>
      </c>
      <c r="M25" s="72">
        <v>4</v>
      </c>
      <c r="N25" s="72">
        <v>4</v>
      </c>
      <c r="O25" s="71">
        <v>5</v>
      </c>
      <c r="P25" s="71">
        <v>5</v>
      </c>
      <c r="Q25" s="73">
        <v>1</v>
      </c>
      <c r="R25" s="72">
        <v>3</v>
      </c>
      <c r="S25" s="71">
        <v>5</v>
      </c>
      <c r="T25" s="72">
        <v>3</v>
      </c>
      <c r="U25" s="73">
        <v>2</v>
      </c>
      <c r="V25" s="87">
        <v>16</v>
      </c>
      <c r="W25" s="87">
        <v>16</v>
      </c>
      <c r="X25" s="69" t="s">
        <v>4</v>
      </c>
      <c r="Y25" s="82" t="s">
        <v>553</v>
      </c>
      <c r="Z25" s="77">
        <v>8</v>
      </c>
      <c r="AA25" s="77" t="s">
        <v>207</v>
      </c>
      <c r="AB25" s="77" t="s">
        <v>319</v>
      </c>
      <c r="AC25" s="77" t="s">
        <v>320</v>
      </c>
      <c r="AD25" s="84" t="s">
        <v>554</v>
      </c>
      <c r="AE25" s="85">
        <v>46387</v>
      </c>
      <c r="AF25" s="86" t="s">
        <v>555</v>
      </c>
      <c r="AG25" s="17"/>
    </row>
    <row r="26" spans="1:33" ht="45" customHeight="1" x14ac:dyDescent="0.2">
      <c r="A26" s="67" t="s">
        <v>556</v>
      </c>
      <c r="B26" s="68" t="s">
        <v>557</v>
      </c>
      <c r="C26" s="68" t="s">
        <v>558</v>
      </c>
      <c r="D26" s="68" t="s">
        <v>559</v>
      </c>
      <c r="E26" s="68" t="s">
        <v>560</v>
      </c>
      <c r="F26" s="68" t="s">
        <v>561</v>
      </c>
      <c r="G26" s="68" t="s">
        <v>562</v>
      </c>
      <c r="H26" s="68" t="s">
        <v>563</v>
      </c>
      <c r="I26" s="75" t="s">
        <v>3</v>
      </c>
      <c r="J26" s="68" t="s">
        <v>564</v>
      </c>
      <c r="K26" s="70" t="s">
        <v>565</v>
      </c>
      <c r="L26" s="68" t="s">
        <v>556</v>
      </c>
      <c r="M26" s="72">
        <v>4</v>
      </c>
      <c r="N26" s="71">
        <v>5</v>
      </c>
      <c r="O26" s="72">
        <v>4</v>
      </c>
      <c r="P26" s="71">
        <v>5</v>
      </c>
      <c r="Q26" s="73">
        <v>2</v>
      </c>
      <c r="R26" s="71">
        <v>5</v>
      </c>
      <c r="S26" s="71">
        <v>5</v>
      </c>
      <c r="T26" s="71">
        <v>5</v>
      </c>
      <c r="U26" s="71">
        <v>5</v>
      </c>
      <c r="V26" s="74">
        <v>20</v>
      </c>
      <c r="W26" s="74">
        <v>20</v>
      </c>
      <c r="X26" s="75" t="s">
        <v>3</v>
      </c>
      <c r="Y26" s="68" t="s">
        <v>566</v>
      </c>
      <c r="Z26" s="77">
        <v>8</v>
      </c>
      <c r="AA26" s="77" t="s">
        <v>207</v>
      </c>
      <c r="AB26" s="78" t="s">
        <v>319</v>
      </c>
      <c r="AC26" s="78" t="s">
        <v>320</v>
      </c>
      <c r="AD26" s="79" t="s">
        <v>567</v>
      </c>
      <c r="AE26" s="80">
        <v>46326</v>
      </c>
      <c r="AF26" s="81" t="s">
        <v>568</v>
      </c>
      <c r="AG26" s="17"/>
    </row>
    <row r="27" spans="1:33" ht="45" customHeight="1" x14ac:dyDescent="0.2">
      <c r="A27" s="67" t="s">
        <v>569</v>
      </c>
      <c r="B27" s="82" t="s">
        <v>570</v>
      </c>
      <c r="C27" s="82" t="s">
        <v>571</v>
      </c>
      <c r="D27" s="82" t="s">
        <v>572</v>
      </c>
      <c r="E27" s="82" t="s">
        <v>573</v>
      </c>
      <c r="F27" s="82" t="s">
        <v>574</v>
      </c>
      <c r="G27" s="82" t="s">
        <v>575</v>
      </c>
      <c r="H27" s="82" t="s">
        <v>576</v>
      </c>
      <c r="I27" s="69" t="s">
        <v>4</v>
      </c>
      <c r="J27" s="82" t="s">
        <v>577</v>
      </c>
      <c r="K27" s="83" t="s">
        <v>578</v>
      </c>
      <c r="L27" s="82" t="s">
        <v>569</v>
      </c>
      <c r="M27" s="72">
        <v>3</v>
      </c>
      <c r="N27" s="72">
        <v>4</v>
      </c>
      <c r="O27" s="72">
        <v>3</v>
      </c>
      <c r="P27" s="72">
        <v>4</v>
      </c>
      <c r="Q27" s="73">
        <v>1</v>
      </c>
      <c r="R27" s="72">
        <v>3</v>
      </c>
      <c r="S27" s="71">
        <v>5</v>
      </c>
      <c r="T27" s="72">
        <v>3</v>
      </c>
      <c r="U27" s="73">
        <v>1</v>
      </c>
      <c r="V27" s="87">
        <v>12</v>
      </c>
      <c r="W27" s="87">
        <v>12</v>
      </c>
      <c r="X27" s="69" t="s">
        <v>4</v>
      </c>
      <c r="Y27" s="82" t="s">
        <v>579</v>
      </c>
      <c r="Z27" s="77">
        <v>6</v>
      </c>
      <c r="AA27" s="77" t="s">
        <v>207</v>
      </c>
      <c r="AB27" s="77" t="s">
        <v>319</v>
      </c>
      <c r="AC27" s="77" t="s">
        <v>320</v>
      </c>
      <c r="AD27" s="84" t="s">
        <v>580</v>
      </c>
      <c r="AE27" s="85">
        <v>46356</v>
      </c>
      <c r="AF27" s="86" t="s">
        <v>581</v>
      </c>
      <c r="AG27" s="17"/>
    </row>
    <row r="28" spans="1:33" ht="45" customHeight="1" x14ac:dyDescent="0.2">
      <c r="A28" s="67" t="s">
        <v>582</v>
      </c>
      <c r="B28" s="68" t="s">
        <v>583</v>
      </c>
      <c r="C28" s="68" t="s">
        <v>584</v>
      </c>
      <c r="D28" s="68" t="s">
        <v>585</v>
      </c>
      <c r="E28" s="68" t="s">
        <v>586</v>
      </c>
      <c r="F28" s="68" t="s">
        <v>587</v>
      </c>
      <c r="G28" s="68" t="s">
        <v>588</v>
      </c>
      <c r="H28" s="68" t="s">
        <v>589</v>
      </c>
      <c r="I28" s="75" t="s">
        <v>3</v>
      </c>
      <c r="J28" s="68" t="s">
        <v>590</v>
      </c>
      <c r="K28" s="70" t="s">
        <v>591</v>
      </c>
      <c r="L28" s="68" t="s">
        <v>582</v>
      </c>
      <c r="M28" s="72">
        <v>4</v>
      </c>
      <c r="N28" s="71">
        <v>5</v>
      </c>
      <c r="O28" s="71">
        <v>5</v>
      </c>
      <c r="P28" s="71">
        <v>5</v>
      </c>
      <c r="Q28" s="73">
        <v>1</v>
      </c>
      <c r="R28" s="72">
        <v>4</v>
      </c>
      <c r="S28" s="71">
        <v>5</v>
      </c>
      <c r="T28" s="71">
        <v>5</v>
      </c>
      <c r="U28" s="72">
        <v>3</v>
      </c>
      <c r="V28" s="74">
        <v>20</v>
      </c>
      <c r="W28" s="74">
        <v>20</v>
      </c>
      <c r="X28" s="75" t="s">
        <v>3</v>
      </c>
      <c r="Y28" s="68" t="s">
        <v>592</v>
      </c>
      <c r="Z28" s="77">
        <v>10</v>
      </c>
      <c r="AA28" s="77" t="s">
        <v>4</v>
      </c>
      <c r="AB28" s="78" t="s">
        <v>319</v>
      </c>
      <c r="AC28" s="78" t="s">
        <v>320</v>
      </c>
      <c r="AD28" s="79" t="s">
        <v>593</v>
      </c>
      <c r="AE28" s="80">
        <v>46387</v>
      </c>
      <c r="AF28" s="81" t="s">
        <v>594</v>
      </c>
      <c r="AG28" s="17"/>
    </row>
    <row r="29" spans="1:33" ht="45" customHeight="1" x14ac:dyDescent="0.2">
      <c r="A29" s="67" t="s">
        <v>595</v>
      </c>
      <c r="B29" s="82" t="s">
        <v>596</v>
      </c>
      <c r="C29" s="82" t="s">
        <v>597</v>
      </c>
      <c r="D29" s="82" t="s">
        <v>598</v>
      </c>
      <c r="E29" s="82" t="s">
        <v>599</v>
      </c>
      <c r="F29" s="82" t="s">
        <v>600</v>
      </c>
      <c r="G29" s="82" t="s">
        <v>601</v>
      </c>
      <c r="H29" s="82" t="s">
        <v>602</v>
      </c>
      <c r="I29" s="69" t="s">
        <v>4</v>
      </c>
      <c r="J29" s="82" t="s">
        <v>603</v>
      </c>
      <c r="K29" s="83" t="s">
        <v>604</v>
      </c>
      <c r="L29" s="82" t="s">
        <v>595</v>
      </c>
      <c r="M29" s="72">
        <v>4</v>
      </c>
      <c r="N29" s="72">
        <v>4</v>
      </c>
      <c r="O29" s="72">
        <v>4</v>
      </c>
      <c r="P29" s="71">
        <v>5</v>
      </c>
      <c r="Q29" s="73">
        <v>1</v>
      </c>
      <c r="R29" s="72">
        <v>4</v>
      </c>
      <c r="S29" s="71">
        <v>5</v>
      </c>
      <c r="T29" s="71">
        <v>5</v>
      </c>
      <c r="U29" s="72">
        <v>4</v>
      </c>
      <c r="V29" s="87">
        <v>16</v>
      </c>
      <c r="W29" s="87">
        <v>16</v>
      </c>
      <c r="X29" s="75" t="s">
        <v>3</v>
      </c>
      <c r="Y29" s="82" t="s">
        <v>605</v>
      </c>
      <c r="Z29" s="77">
        <v>8</v>
      </c>
      <c r="AA29" s="77" t="s">
        <v>207</v>
      </c>
      <c r="AB29" s="77" t="s">
        <v>319</v>
      </c>
      <c r="AC29" s="77" t="s">
        <v>320</v>
      </c>
      <c r="AD29" s="84" t="s">
        <v>606</v>
      </c>
      <c r="AE29" s="85">
        <v>46387</v>
      </c>
      <c r="AF29" s="86" t="s">
        <v>607</v>
      </c>
      <c r="AG29" s="17"/>
    </row>
    <row r="30" spans="1:33" ht="45" customHeight="1" x14ac:dyDescent="0.2">
      <c r="A30" s="67" t="s">
        <v>608</v>
      </c>
      <c r="B30" s="68" t="s">
        <v>609</v>
      </c>
      <c r="C30" s="68" t="s">
        <v>610</v>
      </c>
      <c r="D30" s="68" t="s">
        <v>611</v>
      </c>
      <c r="E30" s="68" t="s">
        <v>612</v>
      </c>
      <c r="F30" s="68" t="s">
        <v>587</v>
      </c>
      <c r="G30" s="68" t="s">
        <v>613</v>
      </c>
      <c r="H30" s="68" t="s">
        <v>614</v>
      </c>
      <c r="I30" s="69" t="s">
        <v>4</v>
      </c>
      <c r="J30" s="68" t="s">
        <v>615</v>
      </c>
      <c r="K30" s="70" t="s">
        <v>616</v>
      </c>
      <c r="L30" s="68" t="s">
        <v>608</v>
      </c>
      <c r="M30" s="72">
        <v>4</v>
      </c>
      <c r="N30" s="72">
        <v>4</v>
      </c>
      <c r="O30" s="72">
        <v>4</v>
      </c>
      <c r="P30" s="71">
        <v>5</v>
      </c>
      <c r="Q30" s="73">
        <v>1</v>
      </c>
      <c r="R30" s="72">
        <v>3</v>
      </c>
      <c r="S30" s="71">
        <v>5</v>
      </c>
      <c r="T30" s="72">
        <v>4</v>
      </c>
      <c r="U30" s="73">
        <v>2</v>
      </c>
      <c r="V30" s="87">
        <v>16</v>
      </c>
      <c r="W30" s="87">
        <v>16</v>
      </c>
      <c r="X30" s="69" t="s">
        <v>4</v>
      </c>
      <c r="Y30" s="68" t="s">
        <v>617</v>
      </c>
      <c r="Z30" s="77">
        <v>8</v>
      </c>
      <c r="AA30" s="77" t="s">
        <v>207</v>
      </c>
      <c r="AB30" s="78" t="s">
        <v>319</v>
      </c>
      <c r="AC30" s="78" t="s">
        <v>320</v>
      </c>
      <c r="AD30" s="79" t="s">
        <v>618</v>
      </c>
      <c r="AE30" s="80">
        <v>46387</v>
      </c>
      <c r="AF30" s="81" t="s">
        <v>619</v>
      </c>
      <c r="AG30" s="17"/>
    </row>
    <row r="31" spans="1:33" ht="45" customHeight="1" x14ac:dyDescent="0.2">
      <c r="A31" s="67" t="s">
        <v>620</v>
      </c>
      <c r="B31" s="82" t="s">
        <v>621</v>
      </c>
      <c r="C31" s="82" t="s">
        <v>622</v>
      </c>
      <c r="D31" s="82" t="s">
        <v>623</v>
      </c>
      <c r="E31" s="82" t="s">
        <v>624</v>
      </c>
      <c r="F31" s="82" t="s">
        <v>512</v>
      </c>
      <c r="G31" s="82" t="s">
        <v>625</v>
      </c>
      <c r="H31" s="82" t="s">
        <v>626</v>
      </c>
      <c r="I31" s="69" t="s">
        <v>4</v>
      </c>
      <c r="J31" s="82" t="s">
        <v>627</v>
      </c>
      <c r="K31" s="83" t="s">
        <v>628</v>
      </c>
      <c r="L31" s="82" t="s">
        <v>620</v>
      </c>
      <c r="M31" s="72">
        <v>4</v>
      </c>
      <c r="N31" s="72">
        <v>3</v>
      </c>
      <c r="O31" s="72">
        <v>3</v>
      </c>
      <c r="P31" s="72">
        <v>4</v>
      </c>
      <c r="Q31" s="73">
        <v>1</v>
      </c>
      <c r="R31" s="72">
        <v>4</v>
      </c>
      <c r="S31" s="72">
        <v>4</v>
      </c>
      <c r="T31" s="72">
        <v>3</v>
      </c>
      <c r="U31" s="72">
        <v>3</v>
      </c>
      <c r="V31" s="87">
        <v>12</v>
      </c>
      <c r="W31" s="87">
        <v>12</v>
      </c>
      <c r="X31" s="69" t="s">
        <v>4</v>
      </c>
      <c r="Y31" s="82" t="s">
        <v>629</v>
      </c>
      <c r="Z31" s="77">
        <v>6</v>
      </c>
      <c r="AA31" s="77" t="s">
        <v>207</v>
      </c>
      <c r="AB31" s="77" t="s">
        <v>319</v>
      </c>
      <c r="AC31" s="77" t="s">
        <v>320</v>
      </c>
      <c r="AD31" s="84" t="s">
        <v>630</v>
      </c>
      <c r="AE31" s="85">
        <v>46326</v>
      </c>
      <c r="AF31" s="86" t="s">
        <v>519</v>
      </c>
      <c r="AG31" s="17"/>
    </row>
    <row r="32" spans="1:33" ht="45" customHeight="1" x14ac:dyDescent="0.2">
      <c r="A32" s="67" t="s">
        <v>631</v>
      </c>
      <c r="B32" s="68" t="s">
        <v>449</v>
      </c>
      <c r="C32" s="68" t="s">
        <v>632</v>
      </c>
      <c r="D32" s="68" t="s">
        <v>633</v>
      </c>
      <c r="E32" s="68" t="s">
        <v>350</v>
      </c>
      <c r="F32" s="68" t="s">
        <v>634</v>
      </c>
      <c r="G32" s="68" t="s">
        <v>635</v>
      </c>
      <c r="H32" s="68" t="s">
        <v>636</v>
      </c>
      <c r="I32" s="75" t="s">
        <v>3</v>
      </c>
      <c r="J32" s="68" t="s">
        <v>637</v>
      </c>
      <c r="K32" s="70" t="s">
        <v>638</v>
      </c>
      <c r="L32" s="68" t="s">
        <v>631</v>
      </c>
      <c r="M32" s="72">
        <v>4</v>
      </c>
      <c r="N32" s="71">
        <v>5</v>
      </c>
      <c r="O32" s="71">
        <v>5</v>
      </c>
      <c r="P32" s="71">
        <v>5</v>
      </c>
      <c r="Q32" s="73">
        <v>1</v>
      </c>
      <c r="R32" s="72">
        <v>4</v>
      </c>
      <c r="S32" s="71">
        <v>5</v>
      </c>
      <c r="T32" s="72">
        <v>4</v>
      </c>
      <c r="U32" s="73">
        <v>2</v>
      </c>
      <c r="V32" s="74">
        <v>20</v>
      </c>
      <c r="W32" s="74">
        <v>20</v>
      </c>
      <c r="X32" s="75" t="s">
        <v>3</v>
      </c>
      <c r="Y32" s="68" t="s">
        <v>639</v>
      </c>
      <c r="Z32" s="77">
        <v>8</v>
      </c>
      <c r="AA32" s="77" t="s">
        <v>207</v>
      </c>
      <c r="AB32" s="78" t="s">
        <v>319</v>
      </c>
      <c r="AC32" s="78" t="s">
        <v>320</v>
      </c>
      <c r="AD32" s="79" t="s">
        <v>640</v>
      </c>
      <c r="AE32" s="80">
        <v>46295</v>
      </c>
      <c r="AF32" s="81" t="s">
        <v>358</v>
      </c>
      <c r="AG32" s="17"/>
    </row>
    <row r="33" spans="1:33" ht="45" customHeight="1" x14ac:dyDescent="0.2">
      <c r="A33" s="67" t="s">
        <v>641</v>
      </c>
      <c r="B33" s="82" t="s">
        <v>642</v>
      </c>
      <c r="C33" s="82" t="s">
        <v>643</v>
      </c>
      <c r="D33" s="82" t="s">
        <v>644</v>
      </c>
      <c r="E33" s="82" t="s">
        <v>337</v>
      </c>
      <c r="F33" s="82" t="s">
        <v>313</v>
      </c>
      <c r="G33" s="82" t="s">
        <v>645</v>
      </c>
      <c r="H33" s="82" t="s">
        <v>646</v>
      </c>
      <c r="I33" s="69" t="s">
        <v>4</v>
      </c>
      <c r="J33" s="82" t="s">
        <v>647</v>
      </c>
      <c r="K33" s="83" t="s">
        <v>648</v>
      </c>
      <c r="L33" s="82" t="s">
        <v>641</v>
      </c>
      <c r="M33" s="72">
        <v>4</v>
      </c>
      <c r="N33" s="72">
        <v>4</v>
      </c>
      <c r="O33" s="72">
        <v>3</v>
      </c>
      <c r="P33" s="72">
        <v>4</v>
      </c>
      <c r="Q33" s="73">
        <v>1</v>
      </c>
      <c r="R33" s="72">
        <v>3</v>
      </c>
      <c r="S33" s="71">
        <v>5</v>
      </c>
      <c r="T33" s="72">
        <v>4</v>
      </c>
      <c r="U33" s="73">
        <v>2</v>
      </c>
      <c r="V33" s="87">
        <v>12</v>
      </c>
      <c r="W33" s="87">
        <v>12</v>
      </c>
      <c r="X33" s="69" t="s">
        <v>4</v>
      </c>
      <c r="Y33" s="82" t="s">
        <v>437</v>
      </c>
      <c r="Z33" s="77">
        <v>6</v>
      </c>
      <c r="AA33" s="77" t="s">
        <v>207</v>
      </c>
      <c r="AB33" s="77" t="s">
        <v>319</v>
      </c>
      <c r="AC33" s="77" t="s">
        <v>320</v>
      </c>
      <c r="AD33" s="84" t="s">
        <v>649</v>
      </c>
      <c r="AE33" s="85">
        <v>46326</v>
      </c>
      <c r="AF33" s="86" t="s">
        <v>345</v>
      </c>
      <c r="AG33" s="17"/>
    </row>
    <row r="34" spans="1:33" ht="45" customHeight="1" x14ac:dyDescent="0.2">
      <c r="A34" s="67" t="s">
        <v>650</v>
      </c>
      <c r="B34" s="68" t="s">
        <v>421</v>
      </c>
      <c r="C34" s="68" t="s">
        <v>651</v>
      </c>
      <c r="D34" s="68" t="s">
        <v>652</v>
      </c>
      <c r="E34" s="68" t="s">
        <v>653</v>
      </c>
      <c r="F34" s="68" t="s">
        <v>634</v>
      </c>
      <c r="G34" s="68" t="s">
        <v>654</v>
      </c>
      <c r="H34" s="68" t="s">
        <v>655</v>
      </c>
      <c r="I34" s="75" t="s">
        <v>3</v>
      </c>
      <c r="J34" s="68" t="s">
        <v>656</v>
      </c>
      <c r="K34" s="70" t="s">
        <v>657</v>
      </c>
      <c r="L34" s="68" t="s">
        <v>650</v>
      </c>
      <c r="M34" s="72">
        <v>4</v>
      </c>
      <c r="N34" s="71">
        <v>5</v>
      </c>
      <c r="O34" s="71">
        <v>5</v>
      </c>
      <c r="P34" s="72">
        <v>4</v>
      </c>
      <c r="Q34" s="73">
        <v>1</v>
      </c>
      <c r="R34" s="72">
        <v>3</v>
      </c>
      <c r="S34" s="72">
        <v>4</v>
      </c>
      <c r="T34" s="72">
        <v>3</v>
      </c>
      <c r="U34" s="73">
        <v>2</v>
      </c>
      <c r="V34" s="74">
        <v>20</v>
      </c>
      <c r="W34" s="74">
        <v>20</v>
      </c>
      <c r="X34" s="75" t="s">
        <v>3</v>
      </c>
      <c r="Y34" s="68" t="s">
        <v>428</v>
      </c>
      <c r="Z34" s="77">
        <v>8</v>
      </c>
      <c r="AA34" s="77" t="s">
        <v>207</v>
      </c>
      <c r="AB34" s="78" t="s">
        <v>319</v>
      </c>
      <c r="AC34" s="78" t="s">
        <v>320</v>
      </c>
      <c r="AD34" s="79" t="s">
        <v>658</v>
      </c>
      <c r="AE34" s="80">
        <v>46295</v>
      </c>
      <c r="AF34" s="81" t="s">
        <v>659</v>
      </c>
      <c r="AG34" s="17"/>
    </row>
    <row r="35" spans="1:33" ht="45" customHeight="1" x14ac:dyDescent="0.2">
      <c r="A35" s="67" t="s">
        <v>660</v>
      </c>
      <c r="B35" s="82" t="s">
        <v>449</v>
      </c>
      <c r="C35" s="82" t="s">
        <v>635</v>
      </c>
      <c r="D35" s="82" t="s">
        <v>661</v>
      </c>
      <c r="E35" s="82" t="s">
        <v>350</v>
      </c>
      <c r="F35" s="82" t="s">
        <v>634</v>
      </c>
      <c r="G35" s="82" t="s">
        <v>662</v>
      </c>
      <c r="H35" s="82" t="s">
        <v>663</v>
      </c>
      <c r="I35" s="75" t="s">
        <v>3</v>
      </c>
      <c r="J35" s="82" t="s">
        <v>664</v>
      </c>
      <c r="K35" s="83" t="s">
        <v>665</v>
      </c>
      <c r="L35" s="82" t="s">
        <v>660</v>
      </c>
      <c r="M35" s="72">
        <v>4</v>
      </c>
      <c r="N35" s="71">
        <v>5</v>
      </c>
      <c r="O35" s="71">
        <v>5</v>
      </c>
      <c r="P35" s="71">
        <v>5</v>
      </c>
      <c r="Q35" s="73">
        <v>1</v>
      </c>
      <c r="R35" s="72">
        <v>3</v>
      </c>
      <c r="S35" s="71">
        <v>5</v>
      </c>
      <c r="T35" s="72">
        <v>4</v>
      </c>
      <c r="U35" s="73">
        <v>2</v>
      </c>
      <c r="V35" s="74">
        <v>20</v>
      </c>
      <c r="W35" s="74">
        <v>20</v>
      </c>
      <c r="X35" s="75" t="s">
        <v>3</v>
      </c>
      <c r="Y35" s="82" t="s">
        <v>666</v>
      </c>
      <c r="Z35" s="77">
        <v>8</v>
      </c>
      <c r="AA35" s="77" t="s">
        <v>207</v>
      </c>
      <c r="AB35" s="77" t="s">
        <v>319</v>
      </c>
      <c r="AC35" s="77" t="s">
        <v>320</v>
      </c>
      <c r="AD35" s="84" t="s">
        <v>667</v>
      </c>
      <c r="AE35" s="85">
        <v>46326</v>
      </c>
      <c r="AF35" s="86" t="s">
        <v>668</v>
      </c>
      <c r="AG35" s="17"/>
    </row>
    <row r="36" spans="1:33" ht="45" customHeight="1" x14ac:dyDescent="0.2">
      <c r="A36" s="67" t="s">
        <v>669</v>
      </c>
      <c r="B36" s="68" t="s">
        <v>309</v>
      </c>
      <c r="C36" s="68" t="s">
        <v>670</v>
      </c>
      <c r="D36" s="68" t="s">
        <v>671</v>
      </c>
      <c r="E36" s="68" t="s">
        <v>547</v>
      </c>
      <c r="F36" s="68" t="s">
        <v>672</v>
      </c>
      <c r="G36" s="68" t="s">
        <v>354</v>
      </c>
      <c r="H36" s="68" t="s">
        <v>673</v>
      </c>
      <c r="I36" s="69" t="s">
        <v>4</v>
      </c>
      <c r="J36" s="68" t="s">
        <v>674</v>
      </c>
      <c r="K36" s="70" t="s">
        <v>675</v>
      </c>
      <c r="L36" s="68" t="s">
        <v>669</v>
      </c>
      <c r="M36" s="72">
        <v>3</v>
      </c>
      <c r="N36" s="72">
        <v>3</v>
      </c>
      <c r="O36" s="71">
        <v>5</v>
      </c>
      <c r="P36" s="72">
        <v>4</v>
      </c>
      <c r="Q36" s="73">
        <v>1</v>
      </c>
      <c r="R36" s="72">
        <v>4</v>
      </c>
      <c r="S36" s="72">
        <v>4</v>
      </c>
      <c r="T36" s="72">
        <v>4</v>
      </c>
      <c r="U36" s="72">
        <v>4</v>
      </c>
      <c r="V36" s="87">
        <v>12</v>
      </c>
      <c r="W36" s="87">
        <v>12</v>
      </c>
      <c r="X36" s="69" t="s">
        <v>4</v>
      </c>
      <c r="Y36" s="68" t="s">
        <v>676</v>
      </c>
      <c r="Z36" s="77">
        <v>6</v>
      </c>
      <c r="AA36" s="77" t="s">
        <v>207</v>
      </c>
      <c r="AB36" s="78" t="s">
        <v>319</v>
      </c>
      <c r="AC36" s="78" t="s">
        <v>320</v>
      </c>
      <c r="AD36" s="79" t="s">
        <v>677</v>
      </c>
      <c r="AE36" s="80">
        <v>46387</v>
      </c>
      <c r="AF36" s="81" t="s">
        <v>555</v>
      </c>
      <c r="AG36" s="17"/>
    </row>
    <row r="37" spans="1:33" ht="45" customHeight="1" x14ac:dyDescent="0.2">
      <c r="A37" s="67" t="s">
        <v>678</v>
      </c>
      <c r="B37" s="82" t="s">
        <v>372</v>
      </c>
      <c r="C37" s="82" t="s">
        <v>679</v>
      </c>
      <c r="D37" s="82" t="s">
        <v>680</v>
      </c>
      <c r="E37" s="82" t="s">
        <v>388</v>
      </c>
      <c r="F37" s="82" t="s">
        <v>681</v>
      </c>
      <c r="G37" s="82" t="s">
        <v>682</v>
      </c>
      <c r="H37" s="82" t="s">
        <v>683</v>
      </c>
      <c r="I37" s="69" t="s">
        <v>4</v>
      </c>
      <c r="J37" s="82" t="s">
        <v>684</v>
      </c>
      <c r="K37" s="83" t="s">
        <v>685</v>
      </c>
      <c r="L37" s="82" t="s">
        <v>678</v>
      </c>
      <c r="M37" s="72">
        <v>4</v>
      </c>
      <c r="N37" s="72">
        <v>4</v>
      </c>
      <c r="O37" s="72">
        <v>3</v>
      </c>
      <c r="P37" s="72">
        <v>4</v>
      </c>
      <c r="Q37" s="73">
        <v>1</v>
      </c>
      <c r="R37" s="71">
        <v>5</v>
      </c>
      <c r="S37" s="73">
        <v>2</v>
      </c>
      <c r="T37" s="72">
        <v>3</v>
      </c>
      <c r="U37" s="71">
        <v>5</v>
      </c>
      <c r="V37" s="87">
        <v>16</v>
      </c>
      <c r="W37" s="87">
        <v>16</v>
      </c>
      <c r="X37" s="69" t="s">
        <v>4</v>
      </c>
      <c r="Y37" s="82" t="s">
        <v>686</v>
      </c>
      <c r="Z37" s="77">
        <v>8</v>
      </c>
      <c r="AA37" s="77" t="s">
        <v>207</v>
      </c>
      <c r="AB37" s="77" t="s">
        <v>319</v>
      </c>
      <c r="AC37" s="77" t="s">
        <v>320</v>
      </c>
      <c r="AD37" s="84" t="s">
        <v>687</v>
      </c>
      <c r="AE37" s="85">
        <v>46387</v>
      </c>
      <c r="AF37" s="86" t="s">
        <v>688</v>
      </c>
      <c r="AG37" s="17"/>
    </row>
    <row r="38" spans="1:33" ht="45" customHeight="1" x14ac:dyDescent="0.2">
      <c r="A38" s="67" t="s">
        <v>689</v>
      </c>
      <c r="B38" s="68" t="s">
        <v>459</v>
      </c>
      <c r="C38" s="68" t="s">
        <v>690</v>
      </c>
      <c r="D38" s="68" t="s">
        <v>691</v>
      </c>
      <c r="E38" s="68" t="s">
        <v>692</v>
      </c>
      <c r="F38" s="68" t="s">
        <v>693</v>
      </c>
      <c r="G38" s="68" t="s">
        <v>694</v>
      </c>
      <c r="H38" s="68" t="s">
        <v>695</v>
      </c>
      <c r="I38" s="69" t="s">
        <v>4</v>
      </c>
      <c r="J38" s="68" t="s">
        <v>696</v>
      </c>
      <c r="K38" s="70" t="s">
        <v>697</v>
      </c>
      <c r="L38" s="68" t="s">
        <v>689</v>
      </c>
      <c r="M38" s="72">
        <v>4</v>
      </c>
      <c r="N38" s="72">
        <v>4</v>
      </c>
      <c r="O38" s="72">
        <v>3</v>
      </c>
      <c r="P38" s="72">
        <v>4</v>
      </c>
      <c r="Q38" s="73">
        <v>1</v>
      </c>
      <c r="R38" s="71">
        <v>5</v>
      </c>
      <c r="S38" s="73">
        <v>2</v>
      </c>
      <c r="T38" s="72">
        <v>3</v>
      </c>
      <c r="U38" s="71">
        <v>5</v>
      </c>
      <c r="V38" s="87">
        <v>16</v>
      </c>
      <c r="W38" s="87">
        <v>16</v>
      </c>
      <c r="X38" s="69" t="s">
        <v>4</v>
      </c>
      <c r="Y38" s="68" t="s">
        <v>698</v>
      </c>
      <c r="Z38" s="77">
        <v>8</v>
      </c>
      <c r="AA38" s="77" t="s">
        <v>207</v>
      </c>
      <c r="AB38" s="78" t="s">
        <v>319</v>
      </c>
      <c r="AC38" s="78" t="s">
        <v>320</v>
      </c>
      <c r="AD38" s="79" t="s">
        <v>699</v>
      </c>
      <c r="AE38" s="80">
        <v>46387</v>
      </c>
      <c r="AF38" s="81" t="s">
        <v>700</v>
      </c>
      <c r="AG38" s="17"/>
    </row>
    <row r="39" spans="1:33" ht="45" customHeight="1" x14ac:dyDescent="0.2">
      <c r="A39" s="67" t="s">
        <v>701</v>
      </c>
      <c r="B39" s="82" t="s">
        <v>621</v>
      </c>
      <c r="C39" s="82" t="s">
        <v>622</v>
      </c>
      <c r="D39" s="82" t="s">
        <v>702</v>
      </c>
      <c r="E39" s="82" t="s">
        <v>703</v>
      </c>
      <c r="F39" s="82" t="s">
        <v>704</v>
      </c>
      <c r="G39" s="82" t="s">
        <v>705</v>
      </c>
      <c r="H39" s="82" t="s">
        <v>706</v>
      </c>
      <c r="I39" s="75" t="s">
        <v>3</v>
      </c>
      <c r="J39" s="82" t="s">
        <v>707</v>
      </c>
      <c r="K39" s="83" t="s">
        <v>708</v>
      </c>
      <c r="L39" s="82" t="s">
        <v>701</v>
      </c>
      <c r="M39" s="72">
        <v>4</v>
      </c>
      <c r="N39" s="71">
        <v>5</v>
      </c>
      <c r="O39" s="72">
        <v>3</v>
      </c>
      <c r="P39" s="71">
        <v>5</v>
      </c>
      <c r="Q39" s="73">
        <v>1</v>
      </c>
      <c r="R39" s="72">
        <v>4</v>
      </c>
      <c r="S39" s="72">
        <v>4</v>
      </c>
      <c r="T39" s="72">
        <v>4</v>
      </c>
      <c r="U39" s="73">
        <v>2</v>
      </c>
      <c r="V39" s="74">
        <v>20</v>
      </c>
      <c r="W39" s="74">
        <v>20</v>
      </c>
      <c r="X39" s="75" t="s">
        <v>3</v>
      </c>
      <c r="Y39" s="82" t="s">
        <v>629</v>
      </c>
      <c r="Z39" s="77">
        <v>10</v>
      </c>
      <c r="AA39" s="77" t="s">
        <v>4</v>
      </c>
      <c r="AB39" s="77" t="s">
        <v>319</v>
      </c>
      <c r="AC39" s="77" t="s">
        <v>320</v>
      </c>
      <c r="AD39" s="84" t="s">
        <v>709</v>
      </c>
      <c r="AE39" s="85">
        <v>46387</v>
      </c>
      <c r="AF39" s="86" t="s">
        <v>322</v>
      </c>
      <c r="AG39" s="17"/>
    </row>
    <row r="40" spans="1:33" ht="45" customHeight="1" x14ac:dyDescent="0.2">
      <c r="A40" s="67" t="s">
        <v>710</v>
      </c>
      <c r="B40" s="68" t="s">
        <v>711</v>
      </c>
      <c r="C40" s="68" t="s">
        <v>712</v>
      </c>
      <c r="D40" s="68" t="s">
        <v>611</v>
      </c>
      <c r="E40" s="68" t="s">
        <v>612</v>
      </c>
      <c r="F40" s="68" t="s">
        <v>713</v>
      </c>
      <c r="G40" s="68" t="s">
        <v>714</v>
      </c>
      <c r="H40" s="68" t="s">
        <v>715</v>
      </c>
      <c r="I40" s="69" t="s">
        <v>4</v>
      </c>
      <c r="J40" s="68" t="s">
        <v>716</v>
      </c>
      <c r="K40" s="70" t="s">
        <v>717</v>
      </c>
      <c r="L40" s="68" t="s">
        <v>710</v>
      </c>
      <c r="M40" s="72">
        <v>4</v>
      </c>
      <c r="N40" s="72">
        <v>4</v>
      </c>
      <c r="O40" s="72">
        <v>3</v>
      </c>
      <c r="P40" s="71">
        <v>5</v>
      </c>
      <c r="Q40" s="73">
        <v>1</v>
      </c>
      <c r="R40" s="72">
        <v>3</v>
      </c>
      <c r="S40" s="71">
        <v>5</v>
      </c>
      <c r="T40" s="72">
        <v>4</v>
      </c>
      <c r="U40" s="73">
        <v>2</v>
      </c>
      <c r="V40" s="87">
        <v>16</v>
      </c>
      <c r="W40" s="87">
        <v>16</v>
      </c>
      <c r="X40" s="69" t="s">
        <v>4</v>
      </c>
      <c r="Y40" s="68" t="s">
        <v>718</v>
      </c>
      <c r="Z40" s="77">
        <v>8</v>
      </c>
      <c r="AA40" s="77" t="s">
        <v>207</v>
      </c>
      <c r="AB40" s="78" t="s">
        <v>319</v>
      </c>
      <c r="AC40" s="78" t="s">
        <v>320</v>
      </c>
      <c r="AD40" s="79" t="s">
        <v>719</v>
      </c>
      <c r="AE40" s="80">
        <v>46387</v>
      </c>
      <c r="AF40" s="81" t="s">
        <v>619</v>
      </c>
      <c r="AG40" s="17"/>
    </row>
    <row r="41" spans="1:33" ht="45" customHeight="1" x14ac:dyDescent="0.2">
      <c r="A41" s="67" t="s">
        <v>720</v>
      </c>
      <c r="B41" s="82" t="s">
        <v>721</v>
      </c>
      <c r="C41" s="82" t="s">
        <v>722</v>
      </c>
      <c r="D41" s="82" t="s">
        <v>723</v>
      </c>
      <c r="E41" s="82" t="s">
        <v>724</v>
      </c>
      <c r="F41" s="82" t="s">
        <v>634</v>
      </c>
      <c r="G41" s="82" t="s">
        <v>662</v>
      </c>
      <c r="H41" s="82" t="s">
        <v>725</v>
      </c>
      <c r="I41" s="69" t="s">
        <v>4</v>
      </c>
      <c r="J41" s="82" t="s">
        <v>726</v>
      </c>
      <c r="K41" s="83" t="s">
        <v>727</v>
      </c>
      <c r="L41" s="82" t="s">
        <v>720</v>
      </c>
      <c r="M41" s="72">
        <v>3</v>
      </c>
      <c r="N41" s="72">
        <v>3</v>
      </c>
      <c r="O41" s="71">
        <v>5</v>
      </c>
      <c r="P41" s="72">
        <v>3</v>
      </c>
      <c r="Q41" s="73">
        <v>1</v>
      </c>
      <c r="R41" s="72">
        <v>3</v>
      </c>
      <c r="S41" s="73">
        <v>2</v>
      </c>
      <c r="T41" s="73">
        <v>2</v>
      </c>
      <c r="U41" s="73">
        <v>1</v>
      </c>
      <c r="V41" s="87">
        <v>12</v>
      </c>
      <c r="W41" s="87">
        <v>12</v>
      </c>
      <c r="X41" s="69" t="s">
        <v>4</v>
      </c>
      <c r="Y41" s="82" t="s">
        <v>728</v>
      </c>
      <c r="Z41" s="77">
        <v>6</v>
      </c>
      <c r="AA41" s="77" t="s">
        <v>207</v>
      </c>
      <c r="AB41" s="77" t="s">
        <v>319</v>
      </c>
      <c r="AC41" s="77" t="s">
        <v>320</v>
      </c>
      <c r="AD41" s="84" t="s">
        <v>729</v>
      </c>
      <c r="AE41" s="85">
        <v>46326</v>
      </c>
      <c r="AF41" s="86" t="s">
        <v>358</v>
      </c>
      <c r="AG41" s="17"/>
    </row>
    <row r="42" spans="1:33" ht="45" customHeight="1" x14ac:dyDescent="0.2">
      <c r="A42" s="67" t="s">
        <v>730</v>
      </c>
      <c r="B42" s="68" t="s">
        <v>449</v>
      </c>
      <c r="C42" s="68" t="s">
        <v>731</v>
      </c>
      <c r="D42" s="68" t="s">
        <v>732</v>
      </c>
      <c r="E42" s="68" t="s">
        <v>363</v>
      </c>
      <c r="F42" s="68" t="s">
        <v>351</v>
      </c>
      <c r="G42" s="68" t="s">
        <v>733</v>
      </c>
      <c r="H42" s="68" t="s">
        <v>734</v>
      </c>
      <c r="I42" s="69" t="s">
        <v>4</v>
      </c>
      <c r="J42" s="68" t="s">
        <v>735</v>
      </c>
      <c r="K42" s="70" t="s">
        <v>736</v>
      </c>
      <c r="L42" s="68" t="s">
        <v>730</v>
      </c>
      <c r="M42" s="72">
        <v>3</v>
      </c>
      <c r="N42" s="72">
        <v>3</v>
      </c>
      <c r="O42" s="71">
        <v>5</v>
      </c>
      <c r="P42" s="72">
        <v>3</v>
      </c>
      <c r="Q42" s="73">
        <v>1</v>
      </c>
      <c r="R42" s="72">
        <v>3</v>
      </c>
      <c r="S42" s="72">
        <v>3</v>
      </c>
      <c r="T42" s="72">
        <v>3</v>
      </c>
      <c r="U42" s="73">
        <v>1</v>
      </c>
      <c r="V42" s="87">
        <v>12</v>
      </c>
      <c r="W42" s="87">
        <v>12</v>
      </c>
      <c r="X42" s="69" t="s">
        <v>4</v>
      </c>
      <c r="Y42" s="68" t="s">
        <v>737</v>
      </c>
      <c r="Z42" s="77">
        <v>6</v>
      </c>
      <c r="AA42" s="77" t="s">
        <v>207</v>
      </c>
      <c r="AB42" s="78" t="s">
        <v>319</v>
      </c>
      <c r="AC42" s="78" t="s">
        <v>320</v>
      </c>
      <c r="AD42" s="79" t="s">
        <v>738</v>
      </c>
      <c r="AE42" s="80">
        <v>46387</v>
      </c>
      <c r="AF42" s="81" t="s">
        <v>739</v>
      </c>
      <c r="AG42" s="17"/>
    </row>
    <row r="43" spans="1:33" ht="45" customHeight="1" x14ac:dyDescent="0.2">
      <c r="A43" s="67" t="s">
        <v>740</v>
      </c>
      <c r="B43" s="82" t="s">
        <v>642</v>
      </c>
      <c r="C43" s="82" t="s">
        <v>741</v>
      </c>
      <c r="D43" s="82" t="s">
        <v>742</v>
      </c>
      <c r="E43" s="82" t="s">
        <v>743</v>
      </c>
      <c r="F43" s="82" t="s">
        <v>744</v>
      </c>
      <c r="G43" s="82" t="s">
        <v>745</v>
      </c>
      <c r="H43" s="82" t="s">
        <v>746</v>
      </c>
      <c r="I43" s="75" t="s">
        <v>3</v>
      </c>
      <c r="J43" s="82" t="s">
        <v>747</v>
      </c>
      <c r="K43" s="83" t="s">
        <v>748</v>
      </c>
      <c r="L43" s="82" t="s">
        <v>740</v>
      </c>
      <c r="M43" s="72">
        <v>4</v>
      </c>
      <c r="N43" s="71">
        <v>5</v>
      </c>
      <c r="O43" s="72">
        <v>4</v>
      </c>
      <c r="P43" s="71">
        <v>5</v>
      </c>
      <c r="Q43" s="73">
        <v>1</v>
      </c>
      <c r="R43" s="72">
        <v>4</v>
      </c>
      <c r="S43" s="71">
        <v>5</v>
      </c>
      <c r="T43" s="71">
        <v>5</v>
      </c>
      <c r="U43" s="72">
        <v>3</v>
      </c>
      <c r="V43" s="74">
        <v>20</v>
      </c>
      <c r="W43" s="74">
        <v>20</v>
      </c>
      <c r="X43" s="75" t="s">
        <v>3</v>
      </c>
      <c r="Y43" s="82" t="s">
        <v>749</v>
      </c>
      <c r="Z43" s="77">
        <v>10</v>
      </c>
      <c r="AA43" s="77" t="s">
        <v>4</v>
      </c>
      <c r="AB43" s="77" t="s">
        <v>319</v>
      </c>
      <c r="AC43" s="77" t="s">
        <v>320</v>
      </c>
      <c r="AD43" s="84" t="s">
        <v>750</v>
      </c>
      <c r="AE43" s="85">
        <v>46387</v>
      </c>
      <c r="AF43" s="86" t="s">
        <v>751</v>
      </c>
      <c r="AG43" s="17"/>
    </row>
    <row r="44" spans="1:33" ht="45" customHeight="1" x14ac:dyDescent="0.2">
      <c r="A44" s="67" t="s">
        <v>752</v>
      </c>
      <c r="B44" s="68" t="s">
        <v>753</v>
      </c>
      <c r="C44" s="68" t="s">
        <v>754</v>
      </c>
      <c r="D44" s="68" t="s">
        <v>755</v>
      </c>
      <c r="E44" s="68" t="s">
        <v>756</v>
      </c>
      <c r="F44" s="68" t="s">
        <v>634</v>
      </c>
      <c r="G44" s="68" t="s">
        <v>354</v>
      </c>
      <c r="H44" s="68" t="s">
        <v>757</v>
      </c>
      <c r="I44" s="69" t="s">
        <v>4</v>
      </c>
      <c r="J44" s="68" t="s">
        <v>758</v>
      </c>
      <c r="K44" s="70" t="s">
        <v>759</v>
      </c>
      <c r="L44" s="68" t="s">
        <v>752</v>
      </c>
      <c r="M44" s="72">
        <v>3</v>
      </c>
      <c r="N44" s="72">
        <v>3</v>
      </c>
      <c r="O44" s="71">
        <v>5</v>
      </c>
      <c r="P44" s="72">
        <v>3</v>
      </c>
      <c r="Q44" s="73">
        <v>1</v>
      </c>
      <c r="R44" s="72">
        <v>3</v>
      </c>
      <c r="S44" s="72">
        <v>3</v>
      </c>
      <c r="T44" s="72">
        <v>3</v>
      </c>
      <c r="U44" s="73">
        <v>1</v>
      </c>
      <c r="V44" s="87">
        <v>12</v>
      </c>
      <c r="W44" s="87">
        <v>12</v>
      </c>
      <c r="X44" s="69" t="s">
        <v>4</v>
      </c>
      <c r="Y44" s="68" t="s">
        <v>760</v>
      </c>
      <c r="Z44" s="77">
        <v>6</v>
      </c>
      <c r="AA44" s="77" t="s">
        <v>207</v>
      </c>
      <c r="AB44" s="78" t="s">
        <v>319</v>
      </c>
      <c r="AC44" s="78" t="s">
        <v>320</v>
      </c>
      <c r="AD44" s="79" t="s">
        <v>761</v>
      </c>
      <c r="AE44" s="80">
        <v>46387</v>
      </c>
      <c r="AF44" s="81" t="s">
        <v>659</v>
      </c>
      <c r="AG44" s="17"/>
    </row>
    <row r="45" spans="1:33" ht="45" customHeight="1" x14ac:dyDescent="0.2">
      <c r="A45" s="67" t="s">
        <v>762</v>
      </c>
      <c r="B45" s="82" t="s">
        <v>763</v>
      </c>
      <c r="C45" s="82" t="s">
        <v>764</v>
      </c>
      <c r="D45" s="82" t="s">
        <v>765</v>
      </c>
      <c r="E45" s="82" t="s">
        <v>766</v>
      </c>
      <c r="F45" s="82" t="s">
        <v>313</v>
      </c>
      <c r="G45" s="82" t="s">
        <v>767</v>
      </c>
      <c r="H45" s="82" t="s">
        <v>768</v>
      </c>
      <c r="I45" s="75" t="s">
        <v>3</v>
      </c>
      <c r="J45" s="82" t="s">
        <v>769</v>
      </c>
      <c r="K45" s="83" t="s">
        <v>770</v>
      </c>
      <c r="L45" s="82" t="s">
        <v>762</v>
      </c>
      <c r="M45" s="72">
        <v>4</v>
      </c>
      <c r="N45" s="71">
        <v>5</v>
      </c>
      <c r="O45" s="72">
        <v>4</v>
      </c>
      <c r="P45" s="71">
        <v>5</v>
      </c>
      <c r="Q45" s="73">
        <v>1</v>
      </c>
      <c r="R45" s="71">
        <v>5</v>
      </c>
      <c r="S45" s="71">
        <v>5</v>
      </c>
      <c r="T45" s="71">
        <v>5</v>
      </c>
      <c r="U45" s="72">
        <v>4</v>
      </c>
      <c r="V45" s="74">
        <v>20</v>
      </c>
      <c r="W45" s="74">
        <v>20</v>
      </c>
      <c r="X45" s="75" t="s">
        <v>3</v>
      </c>
      <c r="Y45" s="82" t="s">
        <v>771</v>
      </c>
      <c r="Z45" s="77">
        <v>10</v>
      </c>
      <c r="AA45" s="77" t="s">
        <v>4</v>
      </c>
      <c r="AB45" s="77" t="s">
        <v>319</v>
      </c>
      <c r="AC45" s="77" t="s">
        <v>320</v>
      </c>
      <c r="AD45" s="84" t="s">
        <v>772</v>
      </c>
      <c r="AE45" s="85">
        <v>46387</v>
      </c>
      <c r="AF45" s="86" t="s">
        <v>773</v>
      </c>
      <c r="AG45" s="17"/>
    </row>
    <row r="46" spans="1:33" ht="45" customHeight="1" x14ac:dyDescent="0.2">
      <c r="A46" s="67" t="s">
        <v>774</v>
      </c>
      <c r="B46" s="68" t="s">
        <v>421</v>
      </c>
      <c r="C46" s="68" t="s">
        <v>775</v>
      </c>
      <c r="D46" s="68" t="s">
        <v>776</v>
      </c>
      <c r="E46" s="68" t="s">
        <v>777</v>
      </c>
      <c r="F46" s="68" t="s">
        <v>672</v>
      </c>
      <c r="G46" s="68" t="s">
        <v>778</v>
      </c>
      <c r="H46" s="68" t="s">
        <v>779</v>
      </c>
      <c r="I46" s="69" t="s">
        <v>4</v>
      </c>
      <c r="J46" s="68" t="s">
        <v>780</v>
      </c>
      <c r="K46" s="70" t="s">
        <v>781</v>
      </c>
      <c r="L46" s="68" t="s">
        <v>774</v>
      </c>
      <c r="M46" s="72">
        <v>4</v>
      </c>
      <c r="N46" s="72">
        <v>4</v>
      </c>
      <c r="O46" s="71">
        <v>5</v>
      </c>
      <c r="P46" s="72">
        <v>4</v>
      </c>
      <c r="Q46" s="73">
        <v>1</v>
      </c>
      <c r="R46" s="72">
        <v>4</v>
      </c>
      <c r="S46" s="73">
        <v>2</v>
      </c>
      <c r="T46" s="72">
        <v>3</v>
      </c>
      <c r="U46" s="72">
        <v>3</v>
      </c>
      <c r="V46" s="87">
        <v>16</v>
      </c>
      <c r="W46" s="87">
        <v>16</v>
      </c>
      <c r="X46" s="69" t="s">
        <v>4</v>
      </c>
      <c r="Y46" s="68" t="s">
        <v>782</v>
      </c>
      <c r="Z46" s="77">
        <v>8</v>
      </c>
      <c r="AA46" s="77" t="s">
        <v>207</v>
      </c>
      <c r="AB46" s="78" t="s">
        <v>319</v>
      </c>
      <c r="AC46" s="78" t="s">
        <v>320</v>
      </c>
      <c r="AD46" s="79" t="s">
        <v>783</v>
      </c>
      <c r="AE46" s="80">
        <v>46356</v>
      </c>
      <c r="AF46" s="81" t="s">
        <v>322</v>
      </c>
      <c r="AG46" s="17"/>
    </row>
    <row r="47" spans="1:33" ht="45" customHeight="1" x14ac:dyDescent="0.2">
      <c r="A47" s="67" t="s">
        <v>784</v>
      </c>
      <c r="B47" s="82" t="s">
        <v>372</v>
      </c>
      <c r="C47" s="82" t="s">
        <v>381</v>
      </c>
      <c r="D47" s="82" t="s">
        <v>785</v>
      </c>
      <c r="E47" s="82" t="s">
        <v>786</v>
      </c>
      <c r="F47" s="82" t="s">
        <v>376</v>
      </c>
      <c r="G47" s="82" t="s">
        <v>787</v>
      </c>
      <c r="H47" s="82" t="s">
        <v>788</v>
      </c>
      <c r="I47" s="69" t="s">
        <v>4</v>
      </c>
      <c r="J47" s="82" t="s">
        <v>789</v>
      </c>
      <c r="K47" s="83" t="s">
        <v>790</v>
      </c>
      <c r="L47" s="82" t="s">
        <v>784</v>
      </c>
      <c r="M47" s="72">
        <v>3</v>
      </c>
      <c r="N47" s="72">
        <v>4</v>
      </c>
      <c r="O47" s="72">
        <v>4</v>
      </c>
      <c r="P47" s="72">
        <v>4</v>
      </c>
      <c r="Q47" s="73">
        <v>1</v>
      </c>
      <c r="R47" s="72">
        <v>4</v>
      </c>
      <c r="S47" s="72">
        <v>4</v>
      </c>
      <c r="T47" s="72">
        <v>4</v>
      </c>
      <c r="U47" s="72">
        <v>4</v>
      </c>
      <c r="V47" s="87">
        <v>12</v>
      </c>
      <c r="W47" s="87">
        <v>12</v>
      </c>
      <c r="X47" s="69" t="s">
        <v>4</v>
      </c>
      <c r="Y47" s="82" t="s">
        <v>791</v>
      </c>
      <c r="Z47" s="77">
        <v>6</v>
      </c>
      <c r="AA47" s="77" t="s">
        <v>207</v>
      </c>
      <c r="AB47" s="77" t="s">
        <v>319</v>
      </c>
      <c r="AC47" s="77" t="s">
        <v>320</v>
      </c>
      <c r="AD47" s="84" t="s">
        <v>792</v>
      </c>
      <c r="AE47" s="85">
        <v>46387</v>
      </c>
      <c r="AF47" s="86" t="s">
        <v>383</v>
      </c>
      <c r="AG47" s="17"/>
    </row>
    <row r="48" spans="1:33" ht="45" customHeight="1" x14ac:dyDescent="0.2">
      <c r="A48" s="67" t="s">
        <v>793</v>
      </c>
      <c r="B48" s="68" t="s">
        <v>440</v>
      </c>
      <c r="C48" s="68" t="s">
        <v>405</v>
      </c>
      <c r="D48" s="68" t="s">
        <v>794</v>
      </c>
      <c r="E48" s="68" t="s">
        <v>795</v>
      </c>
      <c r="F48" s="68" t="s">
        <v>796</v>
      </c>
      <c r="G48" s="68" t="s">
        <v>797</v>
      </c>
      <c r="H48" s="68" t="s">
        <v>798</v>
      </c>
      <c r="I48" s="69" t="s">
        <v>4</v>
      </c>
      <c r="J48" s="68" t="s">
        <v>799</v>
      </c>
      <c r="K48" s="70" t="s">
        <v>800</v>
      </c>
      <c r="L48" s="68" t="s">
        <v>793</v>
      </c>
      <c r="M48" s="72">
        <v>3</v>
      </c>
      <c r="N48" s="72">
        <v>4</v>
      </c>
      <c r="O48" s="72">
        <v>4</v>
      </c>
      <c r="P48" s="71">
        <v>5</v>
      </c>
      <c r="Q48" s="73">
        <v>1</v>
      </c>
      <c r="R48" s="72">
        <v>4</v>
      </c>
      <c r="S48" s="71">
        <v>5</v>
      </c>
      <c r="T48" s="72">
        <v>4</v>
      </c>
      <c r="U48" s="73">
        <v>2</v>
      </c>
      <c r="V48" s="87">
        <v>12</v>
      </c>
      <c r="W48" s="87">
        <v>12</v>
      </c>
      <c r="X48" s="69" t="s">
        <v>4</v>
      </c>
      <c r="Y48" s="68" t="s">
        <v>801</v>
      </c>
      <c r="Z48" s="77">
        <v>6</v>
      </c>
      <c r="AA48" s="77" t="s">
        <v>207</v>
      </c>
      <c r="AB48" s="78" t="s">
        <v>319</v>
      </c>
      <c r="AC48" s="78" t="s">
        <v>320</v>
      </c>
      <c r="AD48" s="79" t="s">
        <v>802</v>
      </c>
      <c r="AE48" s="80">
        <v>46387</v>
      </c>
      <c r="AF48" s="81" t="s">
        <v>322</v>
      </c>
      <c r="AG48" s="17"/>
    </row>
    <row r="49" spans="1:33" ht="45" customHeight="1" x14ac:dyDescent="0.2">
      <c r="A49" s="67" t="s">
        <v>803</v>
      </c>
      <c r="B49" s="82" t="s">
        <v>804</v>
      </c>
      <c r="C49" s="82" t="s">
        <v>805</v>
      </c>
      <c r="D49" s="82" t="s">
        <v>806</v>
      </c>
      <c r="E49" s="82" t="s">
        <v>350</v>
      </c>
      <c r="F49" s="82" t="s">
        <v>351</v>
      </c>
      <c r="G49" s="82" t="s">
        <v>807</v>
      </c>
      <c r="H49" s="82" t="s">
        <v>808</v>
      </c>
      <c r="I49" s="75" t="s">
        <v>3</v>
      </c>
      <c r="J49" s="82" t="s">
        <v>809</v>
      </c>
      <c r="K49" s="83" t="s">
        <v>810</v>
      </c>
      <c r="L49" s="82" t="s">
        <v>803</v>
      </c>
      <c r="M49" s="72">
        <v>4</v>
      </c>
      <c r="N49" s="72">
        <v>4</v>
      </c>
      <c r="O49" s="71">
        <v>5</v>
      </c>
      <c r="P49" s="72">
        <v>4</v>
      </c>
      <c r="Q49" s="73">
        <v>1</v>
      </c>
      <c r="R49" s="72">
        <v>4</v>
      </c>
      <c r="S49" s="73">
        <v>1</v>
      </c>
      <c r="T49" s="71">
        <v>5</v>
      </c>
      <c r="U49" s="73">
        <v>2</v>
      </c>
      <c r="V49" s="87">
        <v>16</v>
      </c>
      <c r="W49" s="87">
        <v>16</v>
      </c>
      <c r="X49" s="69" t="s">
        <v>4</v>
      </c>
      <c r="Y49" s="82" t="s">
        <v>811</v>
      </c>
      <c r="Z49" s="77">
        <v>8</v>
      </c>
      <c r="AA49" s="77" t="s">
        <v>207</v>
      </c>
      <c r="AB49" s="77" t="s">
        <v>319</v>
      </c>
      <c r="AC49" s="77" t="s">
        <v>320</v>
      </c>
      <c r="AD49" s="84" t="s">
        <v>812</v>
      </c>
      <c r="AE49" s="85">
        <v>46387</v>
      </c>
      <c r="AF49" s="86" t="s">
        <v>358</v>
      </c>
      <c r="AG49" s="17"/>
    </row>
    <row r="50" spans="1:33" ht="45" customHeight="1" x14ac:dyDescent="0.2">
      <c r="A50" s="67" t="s">
        <v>813</v>
      </c>
      <c r="B50" s="68" t="s">
        <v>814</v>
      </c>
      <c r="C50" s="68" t="s">
        <v>815</v>
      </c>
      <c r="D50" s="68" t="s">
        <v>816</v>
      </c>
      <c r="E50" s="68" t="s">
        <v>817</v>
      </c>
      <c r="F50" s="68" t="s">
        <v>293</v>
      </c>
      <c r="G50" s="68" t="s">
        <v>818</v>
      </c>
      <c r="H50" s="68" t="s">
        <v>819</v>
      </c>
      <c r="I50" s="69" t="s">
        <v>4</v>
      </c>
      <c r="J50" s="68" t="s">
        <v>820</v>
      </c>
      <c r="K50" s="70" t="s">
        <v>821</v>
      </c>
      <c r="L50" s="68" t="s">
        <v>813</v>
      </c>
      <c r="M50" s="72">
        <v>3</v>
      </c>
      <c r="N50" s="72">
        <v>3</v>
      </c>
      <c r="O50" s="71">
        <v>5</v>
      </c>
      <c r="P50" s="72">
        <v>3</v>
      </c>
      <c r="Q50" s="73">
        <v>1</v>
      </c>
      <c r="R50" s="72">
        <v>4</v>
      </c>
      <c r="S50" s="73">
        <v>1</v>
      </c>
      <c r="T50" s="72">
        <v>4</v>
      </c>
      <c r="U50" s="72">
        <v>4</v>
      </c>
      <c r="V50" s="87">
        <v>12</v>
      </c>
      <c r="W50" s="87">
        <v>12</v>
      </c>
      <c r="X50" s="69" t="s">
        <v>4</v>
      </c>
      <c r="Y50" s="68" t="s">
        <v>822</v>
      </c>
      <c r="Z50" s="77">
        <v>6</v>
      </c>
      <c r="AA50" s="77" t="s">
        <v>207</v>
      </c>
      <c r="AB50" s="78" t="s">
        <v>319</v>
      </c>
      <c r="AC50" s="78" t="s">
        <v>320</v>
      </c>
      <c r="AD50" s="79" t="s">
        <v>823</v>
      </c>
      <c r="AE50" s="80">
        <v>46356</v>
      </c>
      <c r="AF50" s="81" t="s">
        <v>824</v>
      </c>
      <c r="AG50" s="17"/>
    </row>
    <row r="51" spans="1:33" ht="45" customHeight="1" x14ac:dyDescent="0.2">
      <c r="A51" s="67" t="s">
        <v>825</v>
      </c>
      <c r="B51" s="82" t="s">
        <v>826</v>
      </c>
      <c r="C51" s="82" t="s">
        <v>827</v>
      </c>
      <c r="D51" s="82" t="s">
        <v>828</v>
      </c>
      <c r="E51" s="82" t="s">
        <v>829</v>
      </c>
      <c r="F51" s="82" t="s">
        <v>826</v>
      </c>
      <c r="G51" s="82" t="s">
        <v>830</v>
      </c>
      <c r="H51" s="82" t="s">
        <v>831</v>
      </c>
      <c r="I51" s="69" t="s">
        <v>4</v>
      </c>
      <c r="J51" s="82" t="s">
        <v>832</v>
      </c>
      <c r="K51" s="83" t="s">
        <v>833</v>
      </c>
      <c r="L51" s="82" t="s">
        <v>825</v>
      </c>
      <c r="M51" s="72">
        <v>3</v>
      </c>
      <c r="N51" s="72">
        <v>4</v>
      </c>
      <c r="O51" s="72">
        <v>3</v>
      </c>
      <c r="P51" s="72">
        <v>3</v>
      </c>
      <c r="Q51" s="73">
        <v>1</v>
      </c>
      <c r="R51" s="72">
        <v>4</v>
      </c>
      <c r="S51" s="73">
        <v>1</v>
      </c>
      <c r="T51" s="71">
        <v>5</v>
      </c>
      <c r="U51" s="73">
        <v>2</v>
      </c>
      <c r="V51" s="87">
        <v>12</v>
      </c>
      <c r="W51" s="87">
        <v>12</v>
      </c>
      <c r="X51" s="69" t="s">
        <v>4</v>
      </c>
      <c r="Y51" s="82" t="s">
        <v>834</v>
      </c>
      <c r="Z51" s="77">
        <v>6</v>
      </c>
      <c r="AA51" s="77" t="s">
        <v>207</v>
      </c>
      <c r="AB51" s="77" t="s">
        <v>319</v>
      </c>
      <c r="AC51" s="77" t="s">
        <v>320</v>
      </c>
      <c r="AD51" s="84" t="s">
        <v>835</v>
      </c>
      <c r="AE51" s="85">
        <v>46387</v>
      </c>
      <c r="AF51" s="82" t="s">
        <v>836</v>
      </c>
      <c r="AG51" s="17"/>
    </row>
    <row r="52" spans="1:33" ht="45" customHeight="1" x14ac:dyDescent="0.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</row>
    <row r="53" spans="1:33" ht="45" customHeight="1" x14ac:dyDescent="0.2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</row>
    <row r="54" spans="1:33" ht="45" customHeight="1" x14ac:dyDescent="0.2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</row>
    <row r="55" spans="1:33" ht="45" customHeight="1" x14ac:dyDescent="0.2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</row>
    <row r="56" spans="1:33" ht="45" customHeight="1" x14ac:dyDescent="0.2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</row>
    <row r="57" spans="1:33" ht="45" customHeight="1" x14ac:dyDescent="0.2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</row>
    <row r="58" spans="1:33" ht="45" customHeight="1" x14ac:dyDescent="0.2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</row>
    <row r="59" spans="1:33" ht="45" customHeight="1" x14ac:dyDescent="0.2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</row>
    <row r="60" spans="1:33" ht="45" customHeight="1" x14ac:dyDescent="0.2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</row>
    <row r="61" spans="1:33" ht="45" customHeight="1" x14ac:dyDescent="0.2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</row>
    <row r="62" spans="1:33" ht="45" customHeight="1" x14ac:dyDescent="0.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</row>
    <row r="63" spans="1:33" ht="45" customHeight="1" x14ac:dyDescent="0.2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</row>
    <row r="64" spans="1:33" ht="45" customHeight="1" x14ac:dyDescent="0.2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</row>
    <row r="65" spans="1:33" ht="45" customHeight="1" x14ac:dyDescent="0.2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</row>
    <row r="66" spans="1:33" ht="45" customHeight="1" x14ac:dyDescent="0.2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</row>
    <row r="67" spans="1:33" ht="45" customHeight="1" x14ac:dyDescent="0.2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</row>
    <row r="68" spans="1:33" ht="45" customHeight="1" x14ac:dyDescent="0.2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</row>
    <row r="69" spans="1:33" ht="45" customHeight="1" x14ac:dyDescent="0.2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</row>
    <row r="70" spans="1:33" ht="45" customHeight="1" x14ac:dyDescent="0.2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</row>
    <row r="71" spans="1:33" ht="45" customHeight="1" x14ac:dyDescent="0.2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</row>
    <row r="72" spans="1:33" ht="45" customHeight="1" x14ac:dyDescent="0.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</row>
    <row r="73" spans="1:33" ht="45" customHeight="1" x14ac:dyDescent="0.2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</row>
    <row r="74" spans="1:33" ht="45" customHeight="1" x14ac:dyDescent="0.2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</row>
    <row r="75" spans="1:33" ht="45" customHeight="1" x14ac:dyDescent="0.2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</row>
    <row r="76" spans="1:33" ht="45" customHeight="1" x14ac:dyDescent="0.2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</row>
    <row r="77" spans="1:33" ht="45" customHeight="1" x14ac:dyDescent="0.2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</row>
    <row r="78" spans="1:33" ht="45" customHeight="1" x14ac:dyDescent="0.2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</row>
    <row r="79" spans="1:33" ht="45" customHeight="1" x14ac:dyDescent="0.2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</row>
    <row r="80" spans="1:33" ht="45" customHeight="1" x14ac:dyDescent="0.2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</row>
    <row r="81" spans="1:33" ht="45" customHeight="1" x14ac:dyDescent="0.2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</row>
    <row r="82" spans="1:33" ht="45" customHeight="1" x14ac:dyDescent="0.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</row>
    <row r="83" spans="1:33" ht="45" customHeight="1" x14ac:dyDescent="0.2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</row>
    <row r="84" spans="1:33" ht="45" customHeight="1" x14ac:dyDescent="0.2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</row>
    <row r="85" spans="1:33" ht="45" customHeight="1" x14ac:dyDescent="0.2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</row>
    <row r="86" spans="1:33" ht="45" customHeight="1" x14ac:dyDescent="0.2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</row>
    <row r="87" spans="1:33" ht="45" customHeight="1" x14ac:dyDescent="0.2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</row>
    <row r="88" spans="1:33" ht="45" customHeight="1" x14ac:dyDescent="0.2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</row>
    <row r="89" spans="1:33" ht="45" customHeight="1" x14ac:dyDescent="0.2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</row>
    <row r="90" spans="1:33" ht="45" customHeight="1" x14ac:dyDescent="0.2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</row>
    <row r="91" spans="1:33" ht="45" customHeight="1" x14ac:dyDescent="0.2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</row>
    <row r="92" spans="1:33" ht="45" customHeight="1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</row>
    <row r="93" spans="1:33" ht="45" customHeight="1" x14ac:dyDescent="0.2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</row>
    <row r="94" spans="1:33" ht="45" customHeight="1" x14ac:dyDescent="0.2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</row>
    <row r="95" spans="1:33" ht="45" customHeight="1" x14ac:dyDescent="0.2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</row>
    <row r="96" spans="1:33" ht="45" customHeight="1" x14ac:dyDescent="0.2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</row>
    <row r="97" spans="1:33" ht="45" customHeight="1" x14ac:dyDescent="0.2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</row>
    <row r="98" spans="1:33" ht="45" customHeight="1" x14ac:dyDescent="0.2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</row>
    <row r="99" spans="1:33" ht="45" customHeight="1" x14ac:dyDescent="0.2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</row>
    <row r="100" spans="1:33" ht="45" customHeight="1" x14ac:dyDescent="0.2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</row>
    <row r="101" spans="1:33" ht="45" customHeight="1" x14ac:dyDescent="0.2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</row>
    <row r="102" spans="1:33" ht="45" customHeight="1" x14ac:dyDescent="0.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</row>
    <row r="103" spans="1:33" ht="45" customHeight="1" x14ac:dyDescent="0.2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</row>
  </sheetData>
  <autoFilter ref="A3:AF3" xr:uid="{00000000-0009-0000-0000-000006000000}"/>
  <mergeCells count="6">
    <mergeCell ref="A1:AF1"/>
    <mergeCell ref="A2:L2"/>
    <mergeCell ref="N2:U2"/>
    <mergeCell ref="V2:X2"/>
    <mergeCell ref="Y2:AA2"/>
    <mergeCell ref="AB2:AF2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59"/>
  <sheetViews>
    <sheetView tabSelected="1" zoomScale="85" zoomScaleNormal="85" workbookViewId="0">
      <pane ySplit="2" topLeftCell="A3" activePane="bottomLeft" state="frozen"/>
      <selection pane="bottomLeft" activeCell="F4" sqref="F4"/>
    </sheetView>
  </sheetViews>
  <sheetFormatPr defaultColWidth="8.7109375" defaultRowHeight="15" x14ac:dyDescent="0.25"/>
  <cols>
    <col min="1" max="1" width="8" style="15" customWidth="1"/>
    <col min="2" max="2" width="30" style="15" customWidth="1"/>
    <col min="3" max="3" width="14" style="15" customWidth="1"/>
    <col min="4" max="4" width="13" style="15" customWidth="1"/>
    <col min="5" max="5" width="16" style="15" customWidth="1"/>
    <col min="6" max="6" width="18" style="15" customWidth="1"/>
    <col min="7" max="7" width="11" style="15" customWidth="1"/>
    <col min="8" max="8" width="9" style="15" customWidth="1"/>
    <col min="9" max="9" width="52" style="15" customWidth="1"/>
    <col min="10" max="10" width="20" style="15" customWidth="1"/>
    <col min="11" max="11" width="12" style="15" customWidth="1"/>
    <col min="12" max="12" width="13" style="15" customWidth="1"/>
    <col min="13" max="13" width="5" style="15" customWidth="1"/>
    <col min="14" max="15" width="22" style="15" customWidth="1"/>
    <col min="16" max="16" width="11" style="15" customWidth="1"/>
    <col min="17" max="17" width="9" style="15" customWidth="1"/>
    <col min="18" max="18" width="12" style="15" customWidth="1"/>
  </cols>
  <sheetData>
    <row r="1" spans="1:18" ht="25.5" customHeight="1" x14ac:dyDescent="0.25">
      <c r="A1" s="191" t="s">
        <v>837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</row>
    <row r="2" spans="1:18" ht="30" customHeight="1" x14ac:dyDescent="0.25">
      <c r="A2" s="89" t="s">
        <v>277</v>
      </c>
      <c r="B2" s="89" t="s">
        <v>285</v>
      </c>
      <c r="C2" s="89" t="s">
        <v>838</v>
      </c>
      <c r="D2" s="89" t="s">
        <v>839</v>
      </c>
      <c r="E2" s="89" t="s">
        <v>840</v>
      </c>
      <c r="F2" s="89" t="s">
        <v>841</v>
      </c>
      <c r="G2" s="89" t="s">
        <v>842</v>
      </c>
      <c r="H2" s="89" t="s">
        <v>843</v>
      </c>
      <c r="I2" s="89" t="s">
        <v>305</v>
      </c>
      <c r="J2" s="89" t="s">
        <v>307</v>
      </c>
      <c r="K2" s="89" t="s">
        <v>844</v>
      </c>
      <c r="L2" s="89" t="s">
        <v>304</v>
      </c>
      <c r="M2" s="89" t="s">
        <v>845</v>
      </c>
      <c r="N2" s="89" t="s">
        <v>846</v>
      </c>
      <c r="O2" s="89" t="s">
        <v>847</v>
      </c>
      <c r="P2" s="89" t="s">
        <v>848</v>
      </c>
      <c r="Q2" s="89" t="s">
        <v>849</v>
      </c>
      <c r="R2" s="89" t="s">
        <v>850</v>
      </c>
    </row>
    <row r="3" spans="1:18" ht="15.75" customHeight="1" x14ac:dyDescent="0.25">
      <c r="A3" s="192" t="s">
        <v>851</v>
      </c>
      <c r="B3" s="192"/>
      <c r="C3" s="192"/>
      <c r="D3" s="192"/>
      <c r="E3" s="192"/>
      <c r="F3" s="192"/>
      <c r="G3" s="192"/>
      <c r="H3" s="192"/>
      <c r="I3" s="192"/>
      <c r="J3" s="192"/>
      <c r="K3" s="192"/>
      <c r="L3" s="192"/>
      <c r="M3" s="192"/>
      <c r="N3" s="192"/>
      <c r="O3" s="192"/>
      <c r="P3" s="192"/>
      <c r="Q3" s="192"/>
      <c r="R3" s="192"/>
    </row>
    <row r="4" spans="1:18" ht="51.75" customHeight="1" x14ac:dyDescent="0.25">
      <c r="A4" s="90" t="s">
        <v>346</v>
      </c>
      <c r="B4" s="91" t="s">
        <v>354</v>
      </c>
      <c r="C4" s="92" t="s">
        <v>351</v>
      </c>
      <c r="D4" s="93" t="s">
        <v>4</v>
      </c>
      <c r="E4" s="93" t="s">
        <v>4</v>
      </c>
      <c r="F4" s="94" t="s">
        <v>207</v>
      </c>
      <c r="G4" s="92" t="s">
        <v>852</v>
      </c>
      <c r="H4" s="95" t="s">
        <v>853</v>
      </c>
      <c r="I4" s="96" t="s">
        <v>854</v>
      </c>
      <c r="J4" s="97" t="s">
        <v>358</v>
      </c>
      <c r="K4" s="92" t="s">
        <v>855</v>
      </c>
      <c r="L4" s="98" t="s">
        <v>856</v>
      </c>
      <c r="M4" s="99" t="s">
        <v>857</v>
      </c>
      <c r="N4" s="91" t="s">
        <v>858</v>
      </c>
      <c r="O4" s="91" t="s">
        <v>859</v>
      </c>
      <c r="P4" s="92" t="s">
        <v>860</v>
      </c>
      <c r="Q4" s="92" t="s">
        <v>861</v>
      </c>
      <c r="R4" s="92" t="s">
        <v>862</v>
      </c>
    </row>
    <row r="5" spans="1:18" ht="51.75" customHeight="1" x14ac:dyDescent="0.25">
      <c r="A5" s="100" t="s">
        <v>448</v>
      </c>
      <c r="B5" s="101" t="s">
        <v>454</v>
      </c>
      <c r="C5" s="102" t="s">
        <v>351</v>
      </c>
      <c r="D5" s="93" t="s">
        <v>4</v>
      </c>
      <c r="E5" s="93" t="s">
        <v>4</v>
      </c>
      <c r="F5" s="94" t="s">
        <v>207</v>
      </c>
      <c r="G5" s="102" t="s">
        <v>852</v>
      </c>
      <c r="H5" s="103" t="s">
        <v>863</v>
      </c>
      <c r="I5" s="104" t="s">
        <v>864</v>
      </c>
      <c r="J5" s="105" t="s">
        <v>358</v>
      </c>
      <c r="K5" s="102" t="s">
        <v>855</v>
      </c>
      <c r="L5" s="106" t="s">
        <v>865</v>
      </c>
      <c r="M5" s="107" t="s">
        <v>857</v>
      </c>
      <c r="N5" s="101" t="s">
        <v>866</v>
      </c>
      <c r="O5" s="101" t="s">
        <v>867</v>
      </c>
      <c r="P5" s="102" t="s">
        <v>860</v>
      </c>
      <c r="Q5" s="102" t="s">
        <v>861</v>
      </c>
      <c r="R5" s="102" t="s">
        <v>862</v>
      </c>
    </row>
    <row r="6" spans="1:18" ht="51.75" customHeight="1" x14ac:dyDescent="0.25">
      <c r="A6" s="90" t="s">
        <v>631</v>
      </c>
      <c r="B6" s="91" t="s">
        <v>637</v>
      </c>
      <c r="C6" s="92" t="s">
        <v>351</v>
      </c>
      <c r="D6" s="108" t="s">
        <v>3</v>
      </c>
      <c r="E6" s="108" t="s">
        <v>3</v>
      </c>
      <c r="F6" s="93" t="s">
        <v>4</v>
      </c>
      <c r="G6" s="92" t="s">
        <v>852</v>
      </c>
      <c r="H6" s="95" t="s">
        <v>868</v>
      </c>
      <c r="I6" s="96" t="s">
        <v>869</v>
      </c>
      <c r="J6" s="97" t="s">
        <v>358</v>
      </c>
      <c r="K6" s="92" t="s">
        <v>870</v>
      </c>
      <c r="L6" s="98" t="s">
        <v>856</v>
      </c>
      <c r="M6" s="99" t="s">
        <v>857</v>
      </c>
      <c r="N6" s="91" t="s">
        <v>871</v>
      </c>
      <c r="O6" s="91" t="s">
        <v>872</v>
      </c>
      <c r="P6" s="92" t="s">
        <v>290</v>
      </c>
      <c r="Q6" s="92" t="s">
        <v>873</v>
      </c>
      <c r="R6" s="92" t="s">
        <v>862</v>
      </c>
    </row>
    <row r="7" spans="1:18" ht="51.75" customHeight="1" x14ac:dyDescent="0.25">
      <c r="A7" s="100" t="s">
        <v>650</v>
      </c>
      <c r="B7" s="101" t="s">
        <v>874</v>
      </c>
      <c r="C7" s="102" t="s">
        <v>351</v>
      </c>
      <c r="D7" s="108" t="s">
        <v>3</v>
      </c>
      <c r="E7" s="108" t="s">
        <v>3</v>
      </c>
      <c r="F7" s="93" t="s">
        <v>4</v>
      </c>
      <c r="G7" s="102" t="s">
        <v>852</v>
      </c>
      <c r="H7" s="103" t="s">
        <v>875</v>
      </c>
      <c r="I7" s="104" t="s">
        <v>876</v>
      </c>
      <c r="J7" s="105" t="s">
        <v>659</v>
      </c>
      <c r="K7" s="102" t="s">
        <v>870</v>
      </c>
      <c r="L7" s="106" t="s">
        <v>865</v>
      </c>
      <c r="M7" s="109" t="s">
        <v>857</v>
      </c>
      <c r="N7" s="101" t="s">
        <v>877</v>
      </c>
      <c r="O7" s="101" t="s">
        <v>878</v>
      </c>
      <c r="P7" s="102" t="s">
        <v>290</v>
      </c>
      <c r="Q7" s="102" t="s">
        <v>861</v>
      </c>
      <c r="R7" s="102" t="s">
        <v>862</v>
      </c>
    </row>
    <row r="8" spans="1:18" ht="51.75" customHeight="1" x14ac:dyDescent="0.25">
      <c r="A8" s="90" t="s">
        <v>660</v>
      </c>
      <c r="B8" s="91" t="s">
        <v>879</v>
      </c>
      <c r="C8" s="92" t="s">
        <v>351</v>
      </c>
      <c r="D8" s="108" t="s">
        <v>3</v>
      </c>
      <c r="E8" s="108" t="s">
        <v>3</v>
      </c>
      <c r="F8" s="108" t="s">
        <v>3</v>
      </c>
      <c r="G8" s="92" t="s">
        <v>852</v>
      </c>
      <c r="H8" s="95" t="s">
        <v>880</v>
      </c>
      <c r="I8" s="96" t="s">
        <v>881</v>
      </c>
      <c r="J8" s="97" t="s">
        <v>668</v>
      </c>
      <c r="K8" s="92" t="s">
        <v>855</v>
      </c>
      <c r="L8" s="106" t="s">
        <v>865</v>
      </c>
      <c r="M8" s="110" t="s">
        <v>857</v>
      </c>
      <c r="N8" s="91" t="s">
        <v>882</v>
      </c>
      <c r="O8" s="91" t="s">
        <v>883</v>
      </c>
      <c r="P8" s="92" t="s">
        <v>290</v>
      </c>
      <c r="Q8" s="92" t="s">
        <v>873</v>
      </c>
      <c r="R8" s="92" t="s">
        <v>862</v>
      </c>
    </row>
    <row r="9" spans="1:18" ht="51.75" customHeight="1" x14ac:dyDescent="0.25">
      <c r="A9" s="100" t="s">
        <v>669</v>
      </c>
      <c r="B9" s="101" t="s">
        <v>884</v>
      </c>
      <c r="C9" s="102" t="s">
        <v>351</v>
      </c>
      <c r="D9" s="93" t="s">
        <v>4</v>
      </c>
      <c r="E9" s="93" t="s">
        <v>4</v>
      </c>
      <c r="F9" s="111" t="s">
        <v>203</v>
      </c>
      <c r="G9" s="102" t="s">
        <v>852</v>
      </c>
      <c r="H9" s="103" t="s">
        <v>885</v>
      </c>
      <c r="I9" s="104" t="s">
        <v>886</v>
      </c>
      <c r="J9" s="105" t="s">
        <v>555</v>
      </c>
      <c r="K9" s="102" t="s">
        <v>887</v>
      </c>
      <c r="L9" s="106" t="s">
        <v>865</v>
      </c>
      <c r="M9" s="112" t="s">
        <v>857</v>
      </c>
      <c r="N9" s="101" t="s">
        <v>888</v>
      </c>
      <c r="O9" s="101" t="s">
        <v>889</v>
      </c>
      <c r="P9" s="102" t="s">
        <v>890</v>
      </c>
      <c r="Q9" s="102" t="s">
        <v>861</v>
      </c>
      <c r="R9" s="102" t="s">
        <v>862</v>
      </c>
    </row>
    <row r="10" spans="1:18" ht="51.75" customHeight="1" x14ac:dyDescent="0.25">
      <c r="A10" s="90" t="s">
        <v>720</v>
      </c>
      <c r="B10" s="91" t="s">
        <v>726</v>
      </c>
      <c r="C10" s="92" t="s">
        <v>351</v>
      </c>
      <c r="D10" s="93" t="s">
        <v>4</v>
      </c>
      <c r="E10" s="93" t="s">
        <v>4</v>
      </c>
      <c r="F10" s="93" t="s">
        <v>4</v>
      </c>
      <c r="G10" s="92" t="s">
        <v>852</v>
      </c>
      <c r="H10" s="95" t="s">
        <v>891</v>
      </c>
      <c r="I10" s="96" t="s">
        <v>892</v>
      </c>
      <c r="J10" s="97" t="s">
        <v>358</v>
      </c>
      <c r="K10" s="92" t="s">
        <v>855</v>
      </c>
      <c r="L10" s="98" t="s">
        <v>856</v>
      </c>
      <c r="M10" s="113" t="s">
        <v>857</v>
      </c>
      <c r="N10" s="91" t="s">
        <v>893</v>
      </c>
      <c r="O10" s="91" t="s">
        <v>867</v>
      </c>
      <c r="P10" s="92" t="s">
        <v>290</v>
      </c>
      <c r="Q10" s="92" t="s">
        <v>861</v>
      </c>
      <c r="R10" s="92" t="s">
        <v>862</v>
      </c>
    </row>
    <row r="11" spans="1:18" ht="51.75" customHeight="1" x14ac:dyDescent="0.25">
      <c r="A11" s="100" t="s">
        <v>730</v>
      </c>
      <c r="B11" s="101" t="s">
        <v>894</v>
      </c>
      <c r="C11" s="102" t="s">
        <v>351</v>
      </c>
      <c r="D11" s="93" t="s">
        <v>4</v>
      </c>
      <c r="E11" s="93" t="s">
        <v>4</v>
      </c>
      <c r="F11" s="94" t="s">
        <v>207</v>
      </c>
      <c r="G11" s="102" t="s">
        <v>852</v>
      </c>
      <c r="H11" s="103" t="s">
        <v>895</v>
      </c>
      <c r="I11" s="104" t="s">
        <v>896</v>
      </c>
      <c r="J11" s="105" t="s">
        <v>739</v>
      </c>
      <c r="K11" s="102" t="s">
        <v>887</v>
      </c>
      <c r="L11" s="106" t="s">
        <v>865</v>
      </c>
      <c r="M11" s="107" t="s">
        <v>857</v>
      </c>
      <c r="N11" s="101" t="s">
        <v>897</v>
      </c>
      <c r="O11" s="101" t="s">
        <v>867</v>
      </c>
      <c r="P11" s="102" t="s">
        <v>860</v>
      </c>
      <c r="Q11" s="102" t="s">
        <v>861</v>
      </c>
      <c r="R11" s="102" t="s">
        <v>862</v>
      </c>
    </row>
    <row r="12" spans="1:18" ht="51.75" customHeight="1" x14ac:dyDescent="0.25">
      <c r="A12" s="90" t="s">
        <v>752</v>
      </c>
      <c r="B12" s="91" t="s">
        <v>758</v>
      </c>
      <c r="C12" s="92" t="s">
        <v>351</v>
      </c>
      <c r="D12" s="93" t="s">
        <v>4</v>
      </c>
      <c r="E12" s="93" t="s">
        <v>4</v>
      </c>
      <c r="F12" s="93" t="s">
        <v>4</v>
      </c>
      <c r="G12" s="92" t="s">
        <v>852</v>
      </c>
      <c r="H12" s="95" t="s">
        <v>898</v>
      </c>
      <c r="I12" s="96" t="s">
        <v>899</v>
      </c>
      <c r="J12" s="97" t="s">
        <v>659</v>
      </c>
      <c r="K12" s="92" t="s">
        <v>887</v>
      </c>
      <c r="L12" s="106" t="s">
        <v>865</v>
      </c>
      <c r="M12" s="113" t="s">
        <v>857</v>
      </c>
      <c r="N12" s="91" t="s">
        <v>900</v>
      </c>
      <c r="O12" s="91" t="s">
        <v>867</v>
      </c>
      <c r="P12" s="92" t="s">
        <v>890</v>
      </c>
      <c r="Q12" s="92" t="s">
        <v>861</v>
      </c>
      <c r="R12" s="92" t="s">
        <v>862</v>
      </c>
    </row>
    <row r="13" spans="1:18" ht="51.75" customHeight="1" x14ac:dyDescent="0.25">
      <c r="A13" s="100" t="s">
        <v>774</v>
      </c>
      <c r="B13" s="101" t="s">
        <v>780</v>
      </c>
      <c r="C13" s="102" t="s">
        <v>351</v>
      </c>
      <c r="D13" s="93" t="s">
        <v>4</v>
      </c>
      <c r="E13" s="93" t="s">
        <v>4</v>
      </c>
      <c r="F13" s="94" t="s">
        <v>207</v>
      </c>
      <c r="G13" s="102" t="s">
        <v>203</v>
      </c>
      <c r="H13" s="103" t="s">
        <v>901</v>
      </c>
      <c r="I13" s="104" t="s">
        <v>902</v>
      </c>
      <c r="J13" s="105" t="s">
        <v>322</v>
      </c>
      <c r="K13" s="102" t="s">
        <v>903</v>
      </c>
      <c r="L13" s="106" t="s">
        <v>865</v>
      </c>
      <c r="M13" s="112" t="s">
        <v>857</v>
      </c>
      <c r="N13" s="101" t="s">
        <v>904</v>
      </c>
      <c r="O13" s="101" t="s">
        <v>905</v>
      </c>
      <c r="P13" s="102" t="s">
        <v>290</v>
      </c>
      <c r="Q13" s="102" t="s">
        <v>873</v>
      </c>
      <c r="R13" s="102" t="s">
        <v>862</v>
      </c>
    </row>
    <row r="14" spans="1:18" ht="15.75" customHeight="1" x14ac:dyDescent="0.25">
      <c r="A14" s="192" t="s">
        <v>906</v>
      </c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</row>
    <row r="15" spans="1:18" ht="51.75" customHeight="1" x14ac:dyDescent="0.25">
      <c r="A15" s="90" t="s">
        <v>308</v>
      </c>
      <c r="B15" s="91" t="s">
        <v>316</v>
      </c>
      <c r="C15" s="92" t="s">
        <v>313</v>
      </c>
      <c r="D15" s="108" t="s">
        <v>3</v>
      </c>
      <c r="E15" s="108" t="s">
        <v>3</v>
      </c>
      <c r="F15" s="111" t="s">
        <v>203</v>
      </c>
      <c r="G15" s="92" t="s">
        <v>203</v>
      </c>
      <c r="H15" s="95" t="s">
        <v>901</v>
      </c>
      <c r="I15" s="96" t="s">
        <v>907</v>
      </c>
      <c r="J15" s="97" t="s">
        <v>322</v>
      </c>
      <c r="K15" s="92" t="s">
        <v>887</v>
      </c>
      <c r="L15" s="98" t="s">
        <v>856</v>
      </c>
      <c r="M15" s="99" t="s">
        <v>857</v>
      </c>
      <c r="N15" s="91" t="s">
        <v>908</v>
      </c>
      <c r="O15" s="91" t="s">
        <v>909</v>
      </c>
      <c r="P15" s="92" t="s">
        <v>910</v>
      </c>
      <c r="Q15" s="92" t="s">
        <v>861</v>
      </c>
      <c r="R15" s="92" t="s">
        <v>862</v>
      </c>
    </row>
    <row r="16" spans="1:18" ht="51.75" customHeight="1" x14ac:dyDescent="0.25">
      <c r="A16" s="100" t="s">
        <v>323</v>
      </c>
      <c r="B16" s="101" t="s">
        <v>329</v>
      </c>
      <c r="C16" s="102" t="s">
        <v>313</v>
      </c>
      <c r="D16" s="108" t="s">
        <v>3</v>
      </c>
      <c r="E16" s="108" t="s">
        <v>3</v>
      </c>
      <c r="F16" s="111" t="s">
        <v>203</v>
      </c>
      <c r="G16" s="102" t="s">
        <v>199</v>
      </c>
      <c r="H16" s="103" t="s">
        <v>911</v>
      </c>
      <c r="I16" s="104" t="s">
        <v>912</v>
      </c>
      <c r="J16" s="105" t="s">
        <v>322</v>
      </c>
      <c r="K16" s="102" t="s">
        <v>887</v>
      </c>
      <c r="L16" s="98" t="s">
        <v>856</v>
      </c>
      <c r="M16" s="112" t="s">
        <v>857</v>
      </c>
      <c r="N16" s="101" t="s">
        <v>913</v>
      </c>
      <c r="O16" s="101" t="s">
        <v>914</v>
      </c>
      <c r="P16" s="102" t="s">
        <v>890</v>
      </c>
      <c r="Q16" s="102" t="s">
        <v>873</v>
      </c>
      <c r="R16" s="102" t="s">
        <v>862</v>
      </c>
    </row>
    <row r="17" spans="1:18" ht="51.75" customHeight="1" x14ac:dyDescent="0.25">
      <c r="A17" s="90" t="s">
        <v>408</v>
      </c>
      <c r="B17" s="91" t="s">
        <v>415</v>
      </c>
      <c r="C17" s="92" t="s">
        <v>313</v>
      </c>
      <c r="D17" s="93" t="s">
        <v>4</v>
      </c>
      <c r="E17" s="93" t="s">
        <v>4</v>
      </c>
      <c r="F17" s="94" t="s">
        <v>207</v>
      </c>
      <c r="G17" s="92" t="s">
        <v>199</v>
      </c>
      <c r="H17" s="95" t="s">
        <v>915</v>
      </c>
      <c r="I17" s="96" t="s">
        <v>916</v>
      </c>
      <c r="J17" s="97" t="s">
        <v>917</v>
      </c>
      <c r="K17" s="92" t="s">
        <v>855</v>
      </c>
      <c r="L17" s="106" t="s">
        <v>865</v>
      </c>
      <c r="M17" s="110" t="s">
        <v>857</v>
      </c>
      <c r="N17" s="91" t="s">
        <v>918</v>
      </c>
      <c r="O17" s="91" t="s">
        <v>919</v>
      </c>
      <c r="P17" s="92" t="s">
        <v>920</v>
      </c>
      <c r="Q17" s="92" t="s">
        <v>921</v>
      </c>
      <c r="R17" s="92" t="s">
        <v>862</v>
      </c>
    </row>
    <row r="18" spans="1:18" ht="51.75" customHeight="1" x14ac:dyDescent="0.25">
      <c r="A18" s="100" t="s">
        <v>439</v>
      </c>
      <c r="B18" s="101" t="s">
        <v>444</v>
      </c>
      <c r="C18" s="102" t="s">
        <v>313</v>
      </c>
      <c r="D18" s="93" t="s">
        <v>4</v>
      </c>
      <c r="E18" s="93" t="s">
        <v>4</v>
      </c>
      <c r="F18" s="94" t="s">
        <v>207</v>
      </c>
      <c r="G18" s="102" t="s">
        <v>203</v>
      </c>
      <c r="H18" s="103" t="s">
        <v>922</v>
      </c>
      <c r="I18" s="104" t="s">
        <v>923</v>
      </c>
      <c r="J18" s="105" t="s">
        <v>322</v>
      </c>
      <c r="K18" s="102" t="s">
        <v>903</v>
      </c>
      <c r="L18" s="106" t="s">
        <v>865</v>
      </c>
      <c r="M18" s="109" t="s">
        <v>857</v>
      </c>
      <c r="N18" s="101" t="s">
        <v>924</v>
      </c>
      <c r="O18" s="101" t="s">
        <v>925</v>
      </c>
      <c r="P18" s="102" t="s">
        <v>860</v>
      </c>
      <c r="Q18" s="102" t="s">
        <v>861</v>
      </c>
      <c r="R18" s="102" t="s">
        <v>862</v>
      </c>
    </row>
    <row r="19" spans="1:18" ht="51.75" customHeight="1" x14ac:dyDescent="0.25">
      <c r="A19" s="90" t="s">
        <v>498</v>
      </c>
      <c r="B19" s="91" t="s">
        <v>504</v>
      </c>
      <c r="C19" s="92" t="s">
        <v>313</v>
      </c>
      <c r="D19" s="93" t="s">
        <v>4</v>
      </c>
      <c r="E19" s="93" t="s">
        <v>4</v>
      </c>
      <c r="F19" s="93" t="s">
        <v>4</v>
      </c>
      <c r="G19" s="92" t="s">
        <v>203</v>
      </c>
      <c r="H19" s="95" t="s">
        <v>926</v>
      </c>
      <c r="I19" s="96" t="s">
        <v>927</v>
      </c>
      <c r="J19" s="97" t="s">
        <v>917</v>
      </c>
      <c r="K19" s="92" t="s">
        <v>855</v>
      </c>
      <c r="L19" s="98" t="s">
        <v>856</v>
      </c>
      <c r="M19" s="99" t="s">
        <v>857</v>
      </c>
      <c r="N19" s="91" t="s">
        <v>928</v>
      </c>
      <c r="O19" s="91" t="s">
        <v>929</v>
      </c>
      <c r="P19" s="92" t="s">
        <v>890</v>
      </c>
      <c r="Q19" s="92" t="s">
        <v>873</v>
      </c>
      <c r="R19" s="92" t="s">
        <v>862</v>
      </c>
    </row>
    <row r="20" spans="1:18" ht="51.75" customHeight="1" x14ac:dyDescent="0.25">
      <c r="A20" s="100" t="s">
        <v>641</v>
      </c>
      <c r="B20" s="101" t="s">
        <v>647</v>
      </c>
      <c r="C20" s="102" t="s">
        <v>313</v>
      </c>
      <c r="D20" s="93" t="s">
        <v>4</v>
      </c>
      <c r="E20" s="93" t="s">
        <v>4</v>
      </c>
      <c r="F20" s="94" t="s">
        <v>207</v>
      </c>
      <c r="G20" s="102" t="s">
        <v>203</v>
      </c>
      <c r="H20" s="103" t="s">
        <v>930</v>
      </c>
      <c r="I20" s="104" t="s">
        <v>931</v>
      </c>
      <c r="J20" s="105" t="s">
        <v>345</v>
      </c>
      <c r="K20" s="102" t="s">
        <v>855</v>
      </c>
      <c r="L20" s="106" t="s">
        <v>865</v>
      </c>
      <c r="M20" s="107" t="s">
        <v>857</v>
      </c>
      <c r="N20" s="101" t="s">
        <v>932</v>
      </c>
      <c r="O20" s="101" t="s">
        <v>933</v>
      </c>
      <c r="P20" s="102" t="s">
        <v>910</v>
      </c>
      <c r="Q20" s="102" t="s">
        <v>861</v>
      </c>
      <c r="R20" s="102" t="s">
        <v>862</v>
      </c>
    </row>
    <row r="21" spans="1:18" ht="51.75" customHeight="1" x14ac:dyDescent="0.25">
      <c r="A21" s="90" t="s">
        <v>740</v>
      </c>
      <c r="B21" s="91" t="s">
        <v>747</v>
      </c>
      <c r="C21" s="92" t="s">
        <v>313</v>
      </c>
      <c r="D21" s="108" t="s">
        <v>3</v>
      </c>
      <c r="E21" s="108" t="s">
        <v>3</v>
      </c>
      <c r="F21" s="93" t="s">
        <v>4</v>
      </c>
      <c r="G21" s="92" t="s">
        <v>199</v>
      </c>
      <c r="H21" s="95" t="s">
        <v>885</v>
      </c>
      <c r="I21" s="96" t="s">
        <v>934</v>
      </c>
      <c r="J21" s="97" t="s">
        <v>751</v>
      </c>
      <c r="K21" s="92" t="s">
        <v>887</v>
      </c>
      <c r="L21" s="106" t="s">
        <v>865</v>
      </c>
      <c r="M21" s="110" t="s">
        <v>857</v>
      </c>
      <c r="N21" s="91" t="s">
        <v>935</v>
      </c>
      <c r="O21" s="91" t="s">
        <v>936</v>
      </c>
      <c r="P21" s="92" t="s">
        <v>910</v>
      </c>
      <c r="Q21" s="92" t="s">
        <v>873</v>
      </c>
      <c r="R21" s="92" t="s">
        <v>862</v>
      </c>
    </row>
    <row r="22" spans="1:18" ht="51.75" customHeight="1" x14ac:dyDescent="0.25">
      <c r="A22" s="100" t="s">
        <v>762</v>
      </c>
      <c r="B22" s="101" t="s">
        <v>769</v>
      </c>
      <c r="C22" s="102" t="s">
        <v>313</v>
      </c>
      <c r="D22" s="108" t="s">
        <v>3</v>
      </c>
      <c r="E22" s="108" t="s">
        <v>3</v>
      </c>
      <c r="F22" s="93" t="s">
        <v>4</v>
      </c>
      <c r="G22" s="102" t="s">
        <v>199</v>
      </c>
      <c r="H22" s="103" t="s">
        <v>937</v>
      </c>
      <c r="I22" s="104" t="s">
        <v>938</v>
      </c>
      <c r="J22" s="105" t="s">
        <v>773</v>
      </c>
      <c r="K22" s="102" t="s">
        <v>887</v>
      </c>
      <c r="L22" s="106" t="s">
        <v>865</v>
      </c>
      <c r="M22" s="109" t="s">
        <v>857</v>
      </c>
      <c r="N22" s="101" t="s">
        <v>939</v>
      </c>
      <c r="O22" s="101" t="s">
        <v>919</v>
      </c>
      <c r="P22" s="102" t="s">
        <v>860</v>
      </c>
      <c r="Q22" s="102" t="s">
        <v>861</v>
      </c>
      <c r="R22" s="102" t="s">
        <v>862</v>
      </c>
    </row>
    <row r="23" spans="1:18" ht="15.75" customHeight="1" x14ac:dyDescent="0.25">
      <c r="A23" s="192" t="s">
        <v>940</v>
      </c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</row>
    <row r="24" spans="1:18" ht="51.75" customHeight="1" x14ac:dyDescent="0.25">
      <c r="A24" s="90" t="s">
        <v>333</v>
      </c>
      <c r="B24" s="91" t="s">
        <v>341</v>
      </c>
      <c r="C24" s="92" t="s">
        <v>941</v>
      </c>
      <c r="D24" s="93" t="s">
        <v>4</v>
      </c>
      <c r="E24" s="93" t="s">
        <v>4</v>
      </c>
      <c r="F24" s="111" t="s">
        <v>203</v>
      </c>
      <c r="G24" s="92" t="s">
        <v>199</v>
      </c>
      <c r="H24" s="95" t="s">
        <v>942</v>
      </c>
      <c r="I24" s="96" t="s">
        <v>943</v>
      </c>
      <c r="J24" s="97" t="s">
        <v>345</v>
      </c>
      <c r="K24" s="92" t="s">
        <v>903</v>
      </c>
      <c r="L24" s="98" t="s">
        <v>856</v>
      </c>
      <c r="M24" s="99" t="s">
        <v>857</v>
      </c>
      <c r="N24" s="91" t="s">
        <v>944</v>
      </c>
      <c r="O24" s="91" t="s">
        <v>945</v>
      </c>
      <c r="P24" s="92" t="s">
        <v>890</v>
      </c>
      <c r="Q24" s="92" t="s">
        <v>861</v>
      </c>
      <c r="R24" s="92" t="s">
        <v>862</v>
      </c>
    </row>
    <row r="25" spans="1:18" ht="51.75" customHeight="1" x14ac:dyDescent="0.25">
      <c r="A25" s="100" t="s">
        <v>359</v>
      </c>
      <c r="B25" s="101" t="s">
        <v>366</v>
      </c>
      <c r="C25" s="102" t="s">
        <v>941</v>
      </c>
      <c r="D25" s="93" t="s">
        <v>4</v>
      </c>
      <c r="E25" s="93" t="s">
        <v>4</v>
      </c>
      <c r="F25" s="111" t="s">
        <v>203</v>
      </c>
      <c r="G25" s="102" t="s">
        <v>852</v>
      </c>
      <c r="H25" s="103" t="s">
        <v>946</v>
      </c>
      <c r="I25" s="104" t="s">
        <v>947</v>
      </c>
      <c r="J25" s="105" t="s">
        <v>659</v>
      </c>
      <c r="K25" s="102" t="s">
        <v>887</v>
      </c>
      <c r="L25" s="106" t="s">
        <v>865</v>
      </c>
      <c r="M25" s="109" t="s">
        <v>857</v>
      </c>
      <c r="N25" s="101" t="s">
        <v>948</v>
      </c>
      <c r="O25" s="101" t="s">
        <v>919</v>
      </c>
      <c r="P25" s="102" t="s">
        <v>910</v>
      </c>
      <c r="Q25" s="102" t="s">
        <v>873</v>
      </c>
      <c r="R25" s="102" t="s">
        <v>862</v>
      </c>
    </row>
    <row r="26" spans="1:18" ht="51.75" customHeight="1" x14ac:dyDescent="0.25">
      <c r="A26" s="90" t="s">
        <v>396</v>
      </c>
      <c r="B26" s="91" t="s">
        <v>403</v>
      </c>
      <c r="C26" s="92" t="s">
        <v>941</v>
      </c>
      <c r="D26" s="93" t="s">
        <v>4</v>
      </c>
      <c r="E26" s="93" t="s">
        <v>4</v>
      </c>
      <c r="F26" s="94" t="s">
        <v>207</v>
      </c>
      <c r="G26" s="92" t="s">
        <v>203</v>
      </c>
      <c r="H26" s="95" t="s">
        <v>885</v>
      </c>
      <c r="I26" s="96" t="s">
        <v>949</v>
      </c>
      <c r="J26" s="97" t="s">
        <v>950</v>
      </c>
      <c r="K26" s="92" t="s">
        <v>887</v>
      </c>
      <c r="L26" s="106" t="s">
        <v>865</v>
      </c>
      <c r="M26" s="110" t="s">
        <v>857</v>
      </c>
      <c r="N26" s="91" t="s">
        <v>951</v>
      </c>
      <c r="O26" s="91" t="s">
        <v>952</v>
      </c>
      <c r="P26" s="92" t="s">
        <v>910</v>
      </c>
      <c r="Q26" s="92" t="s">
        <v>861</v>
      </c>
      <c r="R26" s="92" t="s">
        <v>862</v>
      </c>
    </row>
    <row r="27" spans="1:18" ht="51.75" customHeight="1" x14ac:dyDescent="0.25">
      <c r="A27" s="100" t="s">
        <v>430</v>
      </c>
      <c r="B27" s="101" t="s">
        <v>434</v>
      </c>
      <c r="C27" s="102" t="s">
        <v>941</v>
      </c>
      <c r="D27" s="93" t="s">
        <v>4</v>
      </c>
      <c r="E27" s="93" t="s">
        <v>4</v>
      </c>
      <c r="F27" s="93" t="s">
        <v>4</v>
      </c>
      <c r="G27" s="102" t="s">
        <v>852</v>
      </c>
      <c r="H27" s="103" t="s">
        <v>926</v>
      </c>
      <c r="I27" s="104" t="s">
        <v>953</v>
      </c>
      <c r="J27" s="105" t="s">
        <v>345</v>
      </c>
      <c r="K27" s="102" t="s">
        <v>887</v>
      </c>
      <c r="L27" s="98" t="s">
        <v>856</v>
      </c>
      <c r="M27" s="112" t="s">
        <v>857</v>
      </c>
      <c r="N27" s="101" t="s">
        <v>908</v>
      </c>
      <c r="O27" s="101" t="s">
        <v>954</v>
      </c>
      <c r="P27" s="102" t="s">
        <v>860</v>
      </c>
      <c r="Q27" s="102" t="s">
        <v>861</v>
      </c>
      <c r="R27" s="102" t="s">
        <v>862</v>
      </c>
    </row>
    <row r="28" spans="1:18" ht="51.75" customHeight="1" x14ac:dyDescent="0.25">
      <c r="A28" s="90" t="s">
        <v>480</v>
      </c>
      <c r="B28" s="91" t="s">
        <v>485</v>
      </c>
      <c r="C28" s="92" t="s">
        <v>941</v>
      </c>
      <c r="D28" s="93" t="s">
        <v>4</v>
      </c>
      <c r="E28" s="93" t="s">
        <v>4</v>
      </c>
      <c r="F28" s="94" t="s">
        <v>207</v>
      </c>
      <c r="G28" s="92" t="s">
        <v>852</v>
      </c>
      <c r="H28" s="95" t="s">
        <v>930</v>
      </c>
      <c r="I28" s="96" t="s">
        <v>955</v>
      </c>
      <c r="J28" s="97" t="s">
        <v>489</v>
      </c>
      <c r="K28" s="92" t="s">
        <v>887</v>
      </c>
      <c r="L28" s="106" t="s">
        <v>865</v>
      </c>
      <c r="M28" s="113" t="s">
        <v>857</v>
      </c>
      <c r="N28" s="91" t="s">
        <v>956</v>
      </c>
      <c r="O28" s="91" t="s">
        <v>867</v>
      </c>
      <c r="P28" s="92" t="s">
        <v>920</v>
      </c>
      <c r="Q28" s="92" t="s">
        <v>873</v>
      </c>
      <c r="R28" s="92" t="s">
        <v>862</v>
      </c>
    </row>
    <row r="29" spans="1:18" ht="51.75" customHeight="1" x14ac:dyDescent="0.25">
      <c r="A29" s="100" t="s">
        <v>490</v>
      </c>
      <c r="B29" s="101" t="s">
        <v>494</v>
      </c>
      <c r="C29" s="102" t="s">
        <v>941</v>
      </c>
      <c r="D29" s="93" t="s">
        <v>4</v>
      </c>
      <c r="E29" s="93" t="s">
        <v>4</v>
      </c>
      <c r="F29" s="94" t="s">
        <v>207</v>
      </c>
      <c r="G29" s="102" t="s">
        <v>199</v>
      </c>
      <c r="H29" s="103" t="s">
        <v>885</v>
      </c>
      <c r="I29" s="104" t="s">
        <v>957</v>
      </c>
      <c r="J29" s="105" t="s">
        <v>345</v>
      </c>
      <c r="K29" s="102" t="s">
        <v>887</v>
      </c>
      <c r="L29" s="106" t="s">
        <v>865</v>
      </c>
      <c r="M29" s="109" t="s">
        <v>857</v>
      </c>
      <c r="N29" s="101" t="s">
        <v>958</v>
      </c>
      <c r="O29" s="101" t="s">
        <v>959</v>
      </c>
      <c r="P29" s="102" t="s">
        <v>910</v>
      </c>
      <c r="Q29" s="102" t="s">
        <v>861</v>
      </c>
      <c r="R29" s="102" t="s">
        <v>862</v>
      </c>
    </row>
    <row r="30" spans="1:18" ht="15.75" customHeight="1" x14ac:dyDescent="0.25">
      <c r="A30" s="192" t="s">
        <v>960</v>
      </c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</row>
    <row r="31" spans="1:18" ht="51.75" customHeight="1" x14ac:dyDescent="0.25">
      <c r="A31" s="90" t="s">
        <v>384</v>
      </c>
      <c r="B31" s="91" t="s">
        <v>391</v>
      </c>
      <c r="C31" s="92" t="s">
        <v>293</v>
      </c>
      <c r="D31" s="93" t="s">
        <v>4</v>
      </c>
      <c r="E31" s="93" t="s">
        <v>4</v>
      </c>
      <c r="F31" s="111" t="s">
        <v>203</v>
      </c>
      <c r="G31" s="92" t="s">
        <v>199</v>
      </c>
      <c r="H31" s="95" t="s">
        <v>915</v>
      </c>
      <c r="I31" s="96" t="s">
        <v>961</v>
      </c>
      <c r="J31" s="97" t="s">
        <v>395</v>
      </c>
      <c r="K31" s="92" t="s">
        <v>903</v>
      </c>
      <c r="L31" s="106" t="s">
        <v>865</v>
      </c>
      <c r="M31" s="110" t="s">
        <v>857</v>
      </c>
      <c r="N31" s="91" t="s">
        <v>962</v>
      </c>
      <c r="O31" s="91" t="s">
        <v>919</v>
      </c>
      <c r="P31" s="92" t="s">
        <v>963</v>
      </c>
      <c r="Q31" s="92" t="s">
        <v>873</v>
      </c>
      <c r="R31" s="92" t="s">
        <v>862</v>
      </c>
    </row>
    <row r="32" spans="1:18" ht="51.75" customHeight="1" x14ac:dyDescent="0.25">
      <c r="A32" s="100" t="s">
        <v>420</v>
      </c>
      <c r="B32" s="101" t="s">
        <v>426</v>
      </c>
      <c r="C32" s="102" t="s">
        <v>293</v>
      </c>
      <c r="D32" s="93" t="s">
        <v>4</v>
      </c>
      <c r="E32" s="93" t="s">
        <v>4</v>
      </c>
      <c r="F32" s="94" t="s">
        <v>207</v>
      </c>
      <c r="G32" s="102" t="s">
        <v>203</v>
      </c>
      <c r="H32" s="103" t="s">
        <v>926</v>
      </c>
      <c r="I32" s="104" t="s">
        <v>964</v>
      </c>
      <c r="J32" s="105" t="s">
        <v>322</v>
      </c>
      <c r="K32" s="102" t="s">
        <v>887</v>
      </c>
      <c r="L32" s="98" t="s">
        <v>856</v>
      </c>
      <c r="M32" s="107" t="s">
        <v>857</v>
      </c>
      <c r="N32" s="101" t="s">
        <v>965</v>
      </c>
      <c r="O32" s="101" t="s">
        <v>867</v>
      </c>
      <c r="P32" s="102" t="s">
        <v>966</v>
      </c>
      <c r="Q32" s="102" t="s">
        <v>861</v>
      </c>
      <c r="R32" s="102" t="s">
        <v>862</v>
      </c>
    </row>
    <row r="33" spans="1:18" ht="51.75" customHeight="1" x14ac:dyDescent="0.25">
      <c r="A33" s="90" t="s">
        <v>458</v>
      </c>
      <c r="B33" s="91" t="s">
        <v>464</v>
      </c>
      <c r="C33" s="92" t="s">
        <v>293</v>
      </c>
      <c r="D33" s="93" t="s">
        <v>4</v>
      </c>
      <c r="E33" s="93" t="s">
        <v>4</v>
      </c>
      <c r="F33" s="94" t="s">
        <v>207</v>
      </c>
      <c r="G33" s="92" t="s">
        <v>852</v>
      </c>
      <c r="H33" s="95" t="s">
        <v>967</v>
      </c>
      <c r="I33" s="96" t="s">
        <v>968</v>
      </c>
      <c r="J33" s="97" t="s">
        <v>700</v>
      </c>
      <c r="K33" s="92" t="s">
        <v>887</v>
      </c>
      <c r="L33" s="106" t="s">
        <v>865</v>
      </c>
      <c r="M33" s="110" t="s">
        <v>857</v>
      </c>
      <c r="N33" s="91" t="s">
        <v>969</v>
      </c>
      <c r="O33" s="91" t="s">
        <v>970</v>
      </c>
      <c r="P33" s="92" t="s">
        <v>963</v>
      </c>
      <c r="Q33" s="92" t="s">
        <v>861</v>
      </c>
      <c r="R33" s="92" t="s">
        <v>862</v>
      </c>
    </row>
    <row r="34" spans="1:18" ht="51.75" customHeight="1" x14ac:dyDescent="0.25">
      <c r="A34" s="100" t="s">
        <v>469</v>
      </c>
      <c r="B34" s="101" t="s">
        <v>475</v>
      </c>
      <c r="C34" s="102" t="s">
        <v>293</v>
      </c>
      <c r="D34" s="94" t="s">
        <v>207</v>
      </c>
      <c r="E34" s="94" t="s">
        <v>207</v>
      </c>
      <c r="F34" s="111" t="s">
        <v>203</v>
      </c>
      <c r="G34" s="102" t="s">
        <v>207</v>
      </c>
      <c r="H34" s="103" t="s">
        <v>880</v>
      </c>
      <c r="I34" s="104" t="s">
        <v>971</v>
      </c>
      <c r="J34" s="105" t="s">
        <v>479</v>
      </c>
      <c r="K34" s="102" t="s">
        <v>870</v>
      </c>
      <c r="L34" s="98" t="s">
        <v>856</v>
      </c>
      <c r="M34" s="107" t="s">
        <v>857</v>
      </c>
      <c r="N34" s="101" t="s">
        <v>972</v>
      </c>
      <c r="O34" s="101" t="s">
        <v>867</v>
      </c>
      <c r="P34" s="102" t="s">
        <v>860</v>
      </c>
      <c r="Q34" s="102" t="s">
        <v>873</v>
      </c>
      <c r="R34" s="102" t="s">
        <v>862</v>
      </c>
    </row>
    <row r="35" spans="1:18" ht="51.75" customHeight="1" x14ac:dyDescent="0.25">
      <c r="A35" s="90" t="s">
        <v>689</v>
      </c>
      <c r="B35" s="91" t="s">
        <v>973</v>
      </c>
      <c r="C35" s="92" t="s">
        <v>293</v>
      </c>
      <c r="D35" s="93" t="s">
        <v>4</v>
      </c>
      <c r="E35" s="93" t="s">
        <v>4</v>
      </c>
      <c r="F35" s="93" t="s">
        <v>4</v>
      </c>
      <c r="G35" s="92" t="s">
        <v>203</v>
      </c>
      <c r="H35" s="95" t="s">
        <v>942</v>
      </c>
      <c r="I35" s="96" t="s">
        <v>974</v>
      </c>
      <c r="J35" s="97" t="s">
        <v>700</v>
      </c>
      <c r="K35" s="92" t="s">
        <v>887</v>
      </c>
      <c r="L35" s="106" t="s">
        <v>865</v>
      </c>
      <c r="M35" s="110" t="s">
        <v>857</v>
      </c>
      <c r="N35" s="91" t="s">
        <v>975</v>
      </c>
      <c r="O35" s="91" t="s">
        <v>976</v>
      </c>
      <c r="P35" s="92" t="s">
        <v>890</v>
      </c>
      <c r="Q35" s="92" t="s">
        <v>861</v>
      </c>
      <c r="R35" s="92" t="s">
        <v>862</v>
      </c>
    </row>
    <row r="36" spans="1:18" ht="51.75" customHeight="1" x14ac:dyDescent="0.25">
      <c r="A36" s="100" t="s">
        <v>813</v>
      </c>
      <c r="B36" s="101" t="s">
        <v>820</v>
      </c>
      <c r="C36" s="102" t="s">
        <v>293</v>
      </c>
      <c r="D36" s="93" t="s">
        <v>4</v>
      </c>
      <c r="E36" s="93" t="s">
        <v>4</v>
      </c>
      <c r="F36" s="93" t="s">
        <v>4</v>
      </c>
      <c r="G36" s="102" t="s">
        <v>199</v>
      </c>
      <c r="H36" s="103" t="s">
        <v>863</v>
      </c>
      <c r="I36" s="104" t="s">
        <v>977</v>
      </c>
      <c r="J36" s="105" t="s">
        <v>824</v>
      </c>
      <c r="K36" s="102" t="s">
        <v>903</v>
      </c>
      <c r="L36" s="98" t="s">
        <v>856</v>
      </c>
      <c r="M36" s="107" t="s">
        <v>857</v>
      </c>
      <c r="N36" s="101" t="s">
        <v>978</v>
      </c>
      <c r="O36" s="101" t="s">
        <v>867</v>
      </c>
      <c r="P36" s="102" t="s">
        <v>890</v>
      </c>
      <c r="Q36" s="102" t="s">
        <v>873</v>
      </c>
      <c r="R36" s="102" t="s">
        <v>862</v>
      </c>
    </row>
    <row r="37" spans="1:18" ht="15.75" customHeight="1" x14ac:dyDescent="0.25">
      <c r="A37" s="192" t="s">
        <v>979</v>
      </c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</row>
    <row r="38" spans="1:18" ht="51.75" customHeight="1" x14ac:dyDescent="0.25">
      <c r="A38" s="90" t="s">
        <v>507</v>
      </c>
      <c r="B38" s="91" t="s">
        <v>515</v>
      </c>
      <c r="C38" s="92" t="s">
        <v>512</v>
      </c>
      <c r="D38" s="93" t="s">
        <v>4</v>
      </c>
      <c r="E38" s="93" t="s">
        <v>4</v>
      </c>
      <c r="F38" s="94" t="s">
        <v>207</v>
      </c>
      <c r="G38" s="92" t="s">
        <v>203</v>
      </c>
      <c r="H38" s="95" t="s">
        <v>880</v>
      </c>
      <c r="I38" s="96" t="s">
        <v>980</v>
      </c>
      <c r="J38" s="97" t="s">
        <v>519</v>
      </c>
      <c r="K38" s="92" t="s">
        <v>887</v>
      </c>
      <c r="L38" s="98" t="s">
        <v>856</v>
      </c>
      <c r="M38" s="113" t="s">
        <v>857</v>
      </c>
      <c r="N38" s="91" t="s">
        <v>981</v>
      </c>
      <c r="O38" s="91" t="s">
        <v>867</v>
      </c>
      <c r="P38" s="92" t="s">
        <v>890</v>
      </c>
      <c r="Q38" s="92" t="s">
        <v>861</v>
      </c>
      <c r="R38" s="92" t="s">
        <v>862</v>
      </c>
    </row>
    <row r="39" spans="1:18" ht="51.75" customHeight="1" x14ac:dyDescent="0.25">
      <c r="A39" s="100" t="s">
        <v>620</v>
      </c>
      <c r="B39" s="101" t="s">
        <v>627</v>
      </c>
      <c r="C39" s="102" t="s">
        <v>512</v>
      </c>
      <c r="D39" s="93" t="s">
        <v>4</v>
      </c>
      <c r="E39" s="93" t="s">
        <v>4</v>
      </c>
      <c r="F39" s="93" t="s">
        <v>4</v>
      </c>
      <c r="G39" s="102" t="s">
        <v>203</v>
      </c>
      <c r="H39" s="103" t="s">
        <v>982</v>
      </c>
      <c r="I39" s="104" t="s">
        <v>983</v>
      </c>
      <c r="J39" s="105" t="s">
        <v>519</v>
      </c>
      <c r="K39" s="102" t="s">
        <v>855</v>
      </c>
      <c r="L39" s="106" t="s">
        <v>865</v>
      </c>
      <c r="M39" s="107" t="s">
        <v>857</v>
      </c>
      <c r="N39" s="101" t="s">
        <v>984</v>
      </c>
      <c r="O39" s="101" t="s">
        <v>867</v>
      </c>
      <c r="P39" s="102" t="s">
        <v>910</v>
      </c>
      <c r="Q39" s="102" t="s">
        <v>861</v>
      </c>
      <c r="R39" s="102" t="s">
        <v>862</v>
      </c>
    </row>
    <row r="40" spans="1:18" ht="51.75" customHeight="1" x14ac:dyDescent="0.25">
      <c r="A40" s="90" t="s">
        <v>701</v>
      </c>
      <c r="B40" s="91" t="s">
        <v>707</v>
      </c>
      <c r="C40" s="92" t="s">
        <v>512</v>
      </c>
      <c r="D40" s="108" t="s">
        <v>3</v>
      </c>
      <c r="E40" s="108" t="s">
        <v>3</v>
      </c>
      <c r="F40" s="108" t="s">
        <v>3</v>
      </c>
      <c r="G40" s="92" t="s">
        <v>199</v>
      </c>
      <c r="H40" s="95" t="s">
        <v>985</v>
      </c>
      <c r="I40" s="96" t="s">
        <v>986</v>
      </c>
      <c r="J40" s="97" t="s">
        <v>322</v>
      </c>
      <c r="K40" s="92" t="s">
        <v>887</v>
      </c>
      <c r="L40" s="106" t="s">
        <v>865</v>
      </c>
      <c r="M40" s="99" t="s">
        <v>857</v>
      </c>
      <c r="N40" s="91" t="s">
        <v>987</v>
      </c>
      <c r="O40" s="91" t="s">
        <v>988</v>
      </c>
      <c r="P40" s="92" t="s">
        <v>910</v>
      </c>
      <c r="Q40" s="92" t="s">
        <v>873</v>
      </c>
      <c r="R40" s="92" t="s">
        <v>862</v>
      </c>
    </row>
    <row r="41" spans="1:18" ht="51.75" customHeight="1" x14ac:dyDescent="0.25">
      <c r="A41" s="100" t="s">
        <v>793</v>
      </c>
      <c r="B41" s="101" t="s">
        <v>799</v>
      </c>
      <c r="C41" s="102" t="s">
        <v>512</v>
      </c>
      <c r="D41" s="93" t="s">
        <v>4</v>
      </c>
      <c r="E41" s="93" t="s">
        <v>4</v>
      </c>
      <c r="F41" s="94" t="s">
        <v>207</v>
      </c>
      <c r="G41" s="102" t="s">
        <v>203</v>
      </c>
      <c r="H41" s="103" t="s">
        <v>885</v>
      </c>
      <c r="I41" s="104" t="s">
        <v>989</v>
      </c>
      <c r="J41" s="105" t="s">
        <v>322</v>
      </c>
      <c r="K41" s="102" t="s">
        <v>887</v>
      </c>
      <c r="L41" s="106" t="s">
        <v>865</v>
      </c>
      <c r="M41" s="109" t="s">
        <v>857</v>
      </c>
      <c r="N41" s="101" t="s">
        <v>990</v>
      </c>
      <c r="O41" s="101" t="s">
        <v>991</v>
      </c>
      <c r="P41" s="102" t="s">
        <v>890</v>
      </c>
      <c r="Q41" s="102" t="s">
        <v>861</v>
      </c>
      <c r="R41" s="102" t="s">
        <v>862</v>
      </c>
    </row>
    <row r="42" spans="1:18" ht="15.75" customHeight="1" x14ac:dyDescent="0.25">
      <c r="A42" s="192" t="s">
        <v>992</v>
      </c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</row>
    <row r="43" spans="1:18" ht="51.75" customHeight="1" x14ac:dyDescent="0.25">
      <c r="A43" s="90" t="s">
        <v>371</v>
      </c>
      <c r="B43" s="91" t="s">
        <v>379</v>
      </c>
      <c r="C43" s="92" t="s">
        <v>993</v>
      </c>
      <c r="D43" s="93" t="s">
        <v>4</v>
      </c>
      <c r="E43" s="93" t="s">
        <v>4</v>
      </c>
      <c r="F43" s="94" t="s">
        <v>207</v>
      </c>
      <c r="G43" s="92" t="s">
        <v>203</v>
      </c>
      <c r="H43" s="95" t="s">
        <v>868</v>
      </c>
      <c r="I43" s="96" t="s">
        <v>994</v>
      </c>
      <c r="J43" s="97" t="s">
        <v>383</v>
      </c>
      <c r="K43" s="92" t="s">
        <v>870</v>
      </c>
      <c r="L43" s="98" t="s">
        <v>856</v>
      </c>
      <c r="M43" s="113" t="s">
        <v>857</v>
      </c>
      <c r="N43" s="91" t="s">
        <v>995</v>
      </c>
      <c r="O43" s="91" t="s">
        <v>867</v>
      </c>
      <c r="P43" s="92" t="s">
        <v>996</v>
      </c>
      <c r="Q43" s="92" t="s">
        <v>861</v>
      </c>
      <c r="R43" s="92" t="s">
        <v>862</v>
      </c>
    </row>
    <row r="44" spans="1:18" ht="51.75" customHeight="1" x14ac:dyDescent="0.25">
      <c r="A44" s="100" t="s">
        <v>520</v>
      </c>
      <c r="B44" s="101" t="s">
        <v>525</v>
      </c>
      <c r="C44" s="102" t="s">
        <v>993</v>
      </c>
      <c r="D44" s="93" t="s">
        <v>4</v>
      </c>
      <c r="E44" s="93" t="s">
        <v>4</v>
      </c>
      <c r="F44" s="93" t="s">
        <v>4</v>
      </c>
      <c r="G44" s="102" t="s">
        <v>852</v>
      </c>
      <c r="H44" s="103" t="s">
        <v>863</v>
      </c>
      <c r="I44" s="104" t="s">
        <v>997</v>
      </c>
      <c r="J44" s="105" t="s">
        <v>529</v>
      </c>
      <c r="K44" s="102" t="s">
        <v>887</v>
      </c>
      <c r="L44" s="106" t="s">
        <v>865</v>
      </c>
      <c r="M44" s="107" t="s">
        <v>857</v>
      </c>
      <c r="N44" s="101" t="s">
        <v>866</v>
      </c>
      <c r="O44" s="101" t="s">
        <v>867</v>
      </c>
      <c r="P44" s="102" t="s">
        <v>996</v>
      </c>
      <c r="Q44" s="102" t="s">
        <v>861</v>
      </c>
      <c r="R44" s="102" t="s">
        <v>862</v>
      </c>
    </row>
    <row r="45" spans="1:18" ht="51.75" customHeight="1" x14ac:dyDescent="0.25">
      <c r="A45" s="90" t="s">
        <v>595</v>
      </c>
      <c r="B45" s="91" t="s">
        <v>603</v>
      </c>
      <c r="C45" s="92" t="s">
        <v>993</v>
      </c>
      <c r="D45" s="93" t="s">
        <v>4</v>
      </c>
      <c r="E45" s="93" t="s">
        <v>4</v>
      </c>
      <c r="F45" s="93" t="s">
        <v>4</v>
      </c>
      <c r="G45" s="92" t="s">
        <v>203</v>
      </c>
      <c r="H45" s="95" t="s">
        <v>998</v>
      </c>
      <c r="I45" s="96" t="s">
        <v>999</v>
      </c>
      <c r="J45" s="97" t="s">
        <v>607</v>
      </c>
      <c r="K45" s="92" t="s">
        <v>887</v>
      </c>
      <c r="L45" s="106" t="s">
        <v>865</v>
      </c>
      <c r="M45" s="110" t="s">
        <v>857</v>
      </c>
      <c r="N45" s="91" t="s">
        <v>1000</v>
      </c>
      <c r="O45" s="91" t="s">
        <v>1001</v>
      </c>
      <c r="P45" s="92" t="s">
        <v>890</v>
      </c>
      <c r="Q45" s="92" t="s">
        <v>873</v>
      </c>
      <c r="R45" s="92" t="s">
        <v>862</v>
      </c>
    </row>
    <row r="46" spans="1:18" ht="51.75" customHeight="1" x14ac:dyDescent="0.25">
      <c r="A46" s="100" t="s">
        <v>678</v>
      </c>
      <c r="B46" s="101" t="s">
        <v>684</v>
      </c>
      <c r="C46" s="102" t="s">
        <v>993</v>
      </c>
      <c r="D46" s="93" t="s">
        <v>4</v>
      </c>
      <c r="E46" s="93" t="s">
        <v>4</v>
      </c>
      <c r="F46" s="93" t="s">
        <v>4</v>
      </c>
      <c r="G46" s="102" t="s">
        <v>207</v>
      </c>
      <c r="H46" s="103" t="s">
        <v>946</v>
      </c>
      <c r="I46" s="104" t="s">
        <v>1002</v>
      </c>
      <c r="J46" s="105" t="s">
        <v>688</v>
      </c>
      <c r="K46" s="102" t="s">
        <v>887</v>
      </c>
      <c r="L46" s="106" t="s">
        <v>865</v>
      </c>
      <c r="M46" s="112" t="s">
        <v>857</v>
      </c>
      <c r="N46" s="101" t="s">
        <v>1003</v>
      </c>
      <c r="O46" s="101" t="s">
        <v>1004</v>
      </c>
      <c r="P46" s="102" t="s">
        <v>890</v>
      </c>
      <c r="Q46" s="102" t="s">
        <v>861</v>
      </c>
      <c r="R46" s="102" t="s">
        <v>862</v>
      </c>
    </row>
    <row r="47" spans="1:18" ht="51.75" customHeight="1" x14ac:dyDescent="0.25">
      <c r="A47" s="90" t="s">
        <v>784</v>
      </c>
      <c r="B47" s="91" t="s">
        <v>789</v>
      </c>
      <c r="C47" s="92" t="s">
        <v>993</v>
      </c>
      <c r="D47" s="93" t="s">
        <v>4</v>
      </c>
      <c r="E47" s="93" t="s">
        <v>4</v>
      </c>
      <c r="F47" s="93" t="s">
        <v>4</v>
      </c>
      <c r="G47" s="92" t="s">
        <v>203</v>
      </c>
      <c r="H47" s="95" t="s">
        <v>895</v>
      </c>
      <c r="I47" s="96" t="s">
        <v>1005</v>
      </c>
      <c r="J47" s="97" t="s">
        <v>383</v>
      </c>
      <c r="K47" s="92" t="s">
        <v>887</v>
      </c>
      <c r="L47" s="106" t="s">
        <v>865</v>
      </c>
      <c r="M47" s="113" t="s">
        <v>857</v>
      </c>
      <c r="N47" s="91" t="s">
        <v>1006</v>
      </c>
      <c r="O47" s="91" t="s">
        <v>867</v>
      </c>
      <c r="P47" s="92" t="s">
        <v>860</v>
      </c>
      <c r="Q47" s="92" t="s">
        <v>861</v>
      </c>
      <c r="R47" s="92" t="s">
        <v>862</v>
      </c>
    </row>
    <row r="48" spans="1:18" ht="15.75" customHeight="1" x14ac:dyDescent="0.25">
      <c r="A48" s="192" t="s">
        <v>1007</v>
      </c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</row>
    <row r="49" spans="1:18" ht="51.75" customHeight="1" x14ac:dyDescent="0.25">
      <c r="A49" s="90" t="s">
        <v>582</v>
      </c>
      <c r="B49" s="91" t="s">
        <v>590</v>
      </c>
      <c r="C49" s="92" t="s">
        <v>1008</v>
      </c>
      <c r="D49" s="108" t="s">
        <v>3</v>
      </c>
      <c r="E49" s="108" t="s">
        <v>3</v>
      </c>
      <c r="F49" s="93" t="s">
        <v>4</v>
      </c>
      <c r="G49" s="92" t="s">
        <v>199</v>
      </c>
      <c r="H49" s="95" t="s">
        <v>942</v>
      </c>
      <c r="I49" s="96" t="s">
        <v>1009</v>
      </c>
      <c r="J49" s="97" t="s">
        <v>594</v>
      </c>
      <c r="K49" s="92" t="s">
        <v>887</v>
      </c>
      <c r="L49" s="106" t="s">
        <v>865</v>
      </c>
      <c r="M49" s="110" t="s">
        <v>857</v>
      </c>
      <c r="N49" s="91" t="s">
        <v>1010</v>
      </c>
      <c r="O49" s="91" t="s">
        <v>1011</v>
      </c>
      <c r="P49" s="92" t="s">
        <v>890</v>
      </c>
      <c r="Q49" s="92" t="s">
        <v>861</v>
      </c>
      <c r="R49" s="92" t="s">
        <v>862</v>
      </c>
    </row>
    <row r="50" spans="1:18" ht="51.75" customHeight="1" x14ac:dyDescent="0.25">
      <c r="A50" s="100" t="s">
        <v>608</v>
      </c>
      <c r="B50" s="101" t="s">
        <v>1012</v>
      </c>
      <c r="C50" s="102" t="s">
        <v>1008</v>
      </c>
      <c r="D50" s="93" t="s">
        <v>4</v>
      </c>
      <c r="E50" s="93" t="s">
        <v>4</v>
      </c>
      <c r="F50" s="94" t="s">
        <v>207</v>
      </c>
      <c r="G50" s="102" t="s">
        <v>203</v>
      </c>
      <c r="H50" s="103" t="s">
        <v>915</v>
      </c>
      <c r="I50" s="104" t="s">
        <v>1013</v>
      </c>
      <c r="J50" s="105" t="s">
        <v>619</v>
      </c>
      <c r="K50" s="102" t="s">
        <v>887</v>
      </c>
      <c r="L50" s="98" t="s">
        <v>856</v>
      </c>
      <c r="M50" s="107" t="s">
        <v>857</v>
      </c>
      <c r="N50" s="101" t="s">
        <v>1014</v>
      </c>
      <c r="O50" s="101" t="s">
        <v>867</v>
      </c>
      <c r="P50" s="102" t="s">
        <v>920</v>
      </c>
      <c r="Q50" s="102" t="s">
        <v>873</v>
      </c>
      <c r="R50" s="102" t="s">
        <v>862</v>
      </c>
    </row>
    <row r="51" spans="1:18" ht="51.75" customHeight="1" x14ac:dyDescent="0.25">
      <c r="A51" s="90" t="s">
        <v>710</v>
      </c>
      <c r="B51" s="91" t="s">
        <v>716</v>
      </c>
      <c r="C51" s="92" t="s">
        <v>1008</v>
      </c>
      <c r="D51" s="93" t="s">
        <v>4</v>
      </c>
      <c r="E51" s="93" t="s">
        <v>4</v>
      </c>
      <c r="F51" s="94" t="s">
        <v>207</v>
      </c>
      <c r="G51" s="92" t="s">
        <v>203</v>
      </c>
      <c r="H51" s="95" t="s">
        <v>868</v>
      </c>
      <c r="I51" s="96" t="s">
        <v>1015</v>
      </c>
      <c r="J51" s="97" t="s">
        <v>619</v>
      </c>
      <c r="K51" s="92" t="s">
        <v>887</v>
      </c>
      <c r="L51" s="106" t="s">
        <v>865</v>
      </c>
      <c r="M51" s="113" t="s">
        <v>857</v>
      </c>
      <c r="N51" s="91" t="s">
        <v>1016</v>
      </c>
      <c r="O51" s="91" t="s">
        <v>867</v>
      </c>
      <c r="P51" s="92" t="s">
        <v>910</v>
      </c>
      <c r="Q51" s="92" t="s">
        <v>861</v>
      </c>
      <c r="R51" s="92" t="s">
        <v>862</v>
      </c>
    </row>
    <row r="52" spans="1:18" ht="15.75" customHeight="1" x14ac:dyDescent="0.25">
      <c r="A52" s="192" t="s">
        <v>1017</v>
      </c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</row>
    <row r="53" spans="1:18" ht="51.75" customHeight="1" x14ac:dyDescent="0.25">
      <c r="A53" s="90" t="s">
        <v>530</v>
      </c>
      <c r="B53" s="91" t="s">
        <v>538</v>
      </c>
      <c r="C53" s="92" t="s">
        <v>1018</v>
      </c>
      <c r="D53" s="108" t="s">
        <v>3</v>
      </c>
      <c r="E53" s="108" t="s">
        <v>3</v>
      </c>
      <c r="F53" s="93" t="s">
        <v>4</v>
      </c>
      <c r="G53" s="92" t="s">
        <v>199</v>
      </c>
      <c r="H53" s="95" t="s">
        <v>985</v>
      </c>
      <c r="I53" s="96" t="s">
        <v>1019</v>
      </c>
      <c r="J53" s="97" t="s">
        <v>542</v>
      </c>
      <c r="K53" s="92" t="s">
        <v>887</v>
      </c>
      <c r="L53" s="106" t="s">
        <v>865</v>
      </c>
      <c r="M53" s="110" t="s">
        <v>857</v>
      </c>
      <c r="N53" s="91" t="s">
        <v>1020</v>
      </c>
      <c r="O53" s="91" t="s">
        <v>1001</v>
      </c>
      <c r="P53" s="92" t="s">
        <v>920</v>
      </c>
      <c r="Q53" s="92" t="s">
        <v>873</v>
      </c>
      <c r="R53" s="92" t="s">
        <v>862</v>
      </c>
    </row>
    <row r="54" spans="1:18" ht="51.75" customHeight="1" x14ac:dyDescent="0.25">
      <c r="A54" s="100" t="s">
        <v>543</v>
      </c>
      <c r="B54" s="101" t="s">
        <v>551</v>
      </c>
      <c r="C54" s="102" t="s">
        <v>1021</v>
      </c>
      <c r="D54" s="93" t="s">
        <v>4</v>
      </c>
      <c r="E54" s="93" t="s">
        <v>4</v>
      </c>
      <c r="F54" s="93" t="s">
        <v>4</v>
      </c>
      <c r="G54" s="102" t="s">
        <v>203</v>
      </c>
      <c r="H54" s="103" t="s">
        <v>895</v>
      </c>
      <c r="I54" s="104" t="s">
        <v>1022</v>
      </c>
      <c r="J54" s="105" t="s">
        <v>555</v>
      </c>
      <c r="K54" s="102" t="s">
        <v>887</v>
      </c>
      <c r="L54" s="106" t="s">
        <v>865</v>
      </c>
      <c r="M54" s="107" t="s">
        <v>857</v>
      </c>
      <c r="N54" s="101" t="s">
        <v>1023</v>
      </c>
      <c r="O54" s="101" t="s">
        <v>867</v>
      </c>
      <c r="P54" s="102" t="s">
        <v>890</v>
      </c>
      <c r="Q54" s="102" t="s">
        <v>861</v>
      </c>
      <c r="R54" s="102" t="s">
        <v>862</v>
      </c>
    </row>
    <row r="55" spans="1:18" ht="51.75" customHeight="1" x14ac:dyDescent="0.25">
      <c r="A55" s="90" t="s">
        <v>556</v>
      </c>
      <c r="B55" s="91" t="s">
        <v>564</v>
      </c>
      <c r="C55" s="92" t="s">
        <v>1024</v>
      </c>
      <c r="D55" s="108" t="s">
        <v>3</v>
      </c>
      <c r="E55" s="108" t="s">
        <v>3</v>
      </c>
      <c r="F55" s="111" t="s">
        <v>203</v>
      </c>
      <c r="G55" s="92" t="s">
        <v>199</v>
      </c>
      <c r="H55" s="95" t="s">
        <v>946</v>
      </c>
      <c r="I55" s="96" t="s">
        <v>1025</v>
      </c>
      <c r="J55" s="97" t="s">
        <v>568</v>
      </c>
      <c r="K55" s="92" t="s">
        <v>855</v>
      </c>
      <c r="L55" s="98" t="s">
        <v>856</v>
      </c>
      <c r="M55" s="99" t="s">
        <v>857</v>
      </c>
      <c r="N55" s="91" t="s">
        <v>1026</v>
      </c>
      <c r="O55" s="91" t="s">
        <v>1027</v>
      </c>
      <c r="P55" s="92" t="s">
        <v>860</v>
      </c>
      <c r="Q55" s="92" t="s">
        <v>861</v>
      </c>
      <c r="R55" s="92" t="s">
        <v>862</v>
      </c>
    </row>
    <row r="56" spans="1:18" ht="51.75" customHeight="1" x14ac:dyDescent="0.25">
      <c r="A56" s="100" t="s">
        <v>569</v>
      </c>
      <c r="B56" s="101" t="s">
        <v>577</v>
      </c>
      <c r="C56" s="102" t="s">
        <v>1024</v>
      </c>
      <c r="D56" s="93" t="s">
        <v>4</v>
      </c>
      <c r="E56" s="93" t="s">
        <v>4</v>
      </c>
      <c r="F56" s="111" t="s">
        <v>203</v>
      </c>
      <c r="G56" s="102" t="s">
        <v>203</v>
      </c>
      <c r="H56" s="103" t="s">
        <v>942</v>
      </c>
      <c r="I56" s="104" t="s">
        <v>1028</v>
      </c>
      <c r="J56" s="105" t="s">
        <v>581</v>
      </c>
      <c r="K56" s="102" t="s">
        <v>903</v>
      </c>
      <c r="L56" s="106" t="s">
        <v>865</v>
      </c>
      <c r="M56" s="112" t="s">
        <v>857</v>
      </c>
      <c r="N56" s="101" t="s">
        <v>1029</v>
      </c>
      <c r="O56" s="101" t="s">
        <v>867</v>
      </c>
      <c r="P56" s="102" t="s">
        <v>910</v>
      </c>
      <c r="Q56" s="102" t="s">
        <v>873</v>
      </c>
      <c r="R56" s="102" t="s">
        <v>862</v>
      </c>
    </row>
    <row r="57" spans="1:18" ht="15.75" customHeight="1" x14ac:dyDescent="0.25">
      <c r="A57" s="192" t="s">
        <v>1030</v>
      </c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</row>
    <row r="58" spans="1:18" ht="51.75" customHeight="1" x14ac:dyDescent="0.25">
      <c r="A58" s="90" t="s">
        <v>803</v>
      </c>
      <c r="B58" s="91" t="s">
        <v>809</v>
      </c>
      <c r="C58" s="92" t="s">
        <v>1031</v>
      </c>
      <c r="D58" s="93" t="s">
        <v>4</v>
      </c>
      <c r="E58" s="93" t="s">
        <v>4</v>
      </c>
      <c r="F58" s="94" t="s">
        <v>207</v>
      </c>
      <c r="G58" s="92" t="s">
        <v>852</v>
      </c>
      <c r="H58" s="95" t="s">
        <v>926</v>
      </c>
      <c r="I58" s="96" t="s">
        <v>1032</v>
      </c>
      <c r="J58" s="97" t="s">
        <v>358</v>
      </c>
      <c r="K58" s="92" t="s">
        <v>887</v>
      </c>
      <c r="L58" s="98" t="s">
        <v>856</v>
      </c>
      <c r="M58" s="113" t="s">
        <v>857</v>
      </c>
      <c r="N58" s="91" t="s">
        <v>888</v>
      </c>
      <c r="O58" s="91" t="s">
        <v>867</v>
      </c>
      <c r="P58" s="92" t="s">
        <v>890</v>
      </c>
      <c r="Q58" s="92" t="s">
        <v>861</v>
      </c>
      <c r="R58" s="92" t="s">
        <v>862</v>
      </c>
    </row>
    <row r="59" spans="1:18" ht="51.75" customHeight="1" x14ac:dyDescent="0.25">
      <c r="A59" s="100" t="s">
        <v>825</v>
      </c>
      <c r="B59" s="101" t="s">
        <v>832</v>
      </c>
      <c r="C59" s="102" t="s">
        <v>1031</v>
      </c>
      <c r="D59" s="93" t="s">
        <v>4</v>
      </c>
      <c r="E59" s="93" t="s">
        <v>4</v>
      </c>
      <c r="F59" s="111" t="s">
        <v>203</v>
      </c>
      <c r="G59" s="102" t="s">
        <v>852</v>
      </c>
      <c r="H59" s="103" t="s">
        <v>898</v>
      </c>
      <c r="I59" s="104" t="s">
        <v>1033</v>
      </c>
      <c r="J59" s="105" t="s">
        <v>836</v>
      </c>
      <c r="K59" s="102" t="s">
        <v>887</v>
      </c>
      <c r="L59" s="98" t="s">
        <v>856</v>
      </c>
      <c r="M59" s="107" t="s">
        <v>857</v>
      </c>
      <c r="N59" s="101" t="s">
        <v>1034</v>
      </c>
      <c r="O59" s="101" t="s">
        <v>867</v>
      </c>
      <c r="P59" s="102" t="s">
        <v>890</v>
      </c>
      <c r="Q59" s="102" t="s">
        <v>861</v>
      </c>
      <c r="R59" s="102" t="s">
        <v>862</v>
      </c>
    </row>
  </sheetData>
  <autoFilter ref="A2:R2" xr:uid="{00000000-0009-0000-0000-000007000000}"/>
  <mergeCells count="10">
    <mergeCell ref="A37:R37"/>
    <mergeCell ref="A42:R42"/>
    <mergeCell ref="A48:R48"/>
    <mergeCell ref="A52:R52"/>
    <mergeCell ref="A57:R57"/>
    <mergeCell ref="A1:R1"/>
    <mergeCell ref="A3:R3"/>
    <mergeCell ref="A14:R14"/>
    <mergeCell ref="A23:R23"/>
    <mergeCell ref="A30:R3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"/>
  <sheetViews>
    <sheetView zoomScale="85" zoomScaleNormal="85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18" customWidth="1"/>
    <col min="2" max="2" width="28" customWidth="1"/>
    <col min="3" max="3" width="58" customWidth="1"/>
    <col min="4" max="4" width="18" customWidth="1"/>
    <col min="5" max="5" width="52" customWidth="1"/>
    <col min="6" max="6" width="16" customWidth="1"/>
  </cols>
  <sheetData>
    <row r="1" spans="1:6" ht="30" customHeight="1" x14ac:dyDescent="0.25">
      <c r="A1" s="191" t="s">
        <v>1035</v>
      </c>
      <c r="B1" s="191"/>
      <c r="C1" s="191"/>
      <c r="D1" s="191"/>
      <c r="E1" s="191"/>
      <c r="F1" s="191"/>
    </row>
    <row r="2" spans="1:6" ht="15" customHeight="1" x14ac:dyDescent="0.25">
      <c r="A2" s="193" t="s">
        <v>1036</v>
      </c>
      <c r="B2" s="193"/>
      <c r="C2" s="193"/>
      <c r="D2" s="193"/>
      <c r="E2" s="193"/>
      <c r="F2" s="193"/>
    </row>
    <row r="3" spans="1:6" ht="21.75" customHeight="1" x14ac:dyDescent="0.25">
      <c r="A3" s="114" t="s">
        <v>277</v>
      </c>
      <c r="B3" s="114" t="s">
        <v>838</v>
      </c>
      <c r="C3" s="114" t="s">
        <v>1037</v>
      </c>
      <c r="D3" s="114" t="s">
        <v>1038</v>
      </c>
      <c r="E3" s="114" t="s">
        <v>1039</v>
      </c>
      <c r="F3" s="114" t="s">
        <v>1040</v>
      </c>
    </row>
    <row r="4" spans="1:6" ht="27.75" customHeight="1" x14ac:dyDescent="0.25">
      <c r="A4" s="90" t="s">
        <v>762</v>
      </c>
      <c r="B4" s="92" t="s">
        <v>764</v>
      </c>
      <c r="C4" s="91" t="s">
        <v>1041</v>
      </c>
      <c r="D4" s="115">
        <v>150000</v>
      </c>
      <c r="E4" s="91" t="s">
        <v>1042</v>
      </c>
      <c r="F4" s="116"/>
    </row>
    <row r="5" spans="1:6" ht="27.75" customHeight="1" x14ac:dyDescent="0.25">
      <c r="A5" s="100" t="s">
        <v>762</v>
      </c>
      <c r="B5" s="102" t="s">
        <v>764</v>
      </c>
      <c r="C5" s="101" t="s">
        <v>1043</v>
      </c>
      <c r="D5" s="117">
        <v>100000</v>
      </c>
      <c r="E5" s="101" t="s">
        <v>1044</v>
      </c>
      <c r="F5" s="118"/>
    </row>
    <row r="6" spans="1:6" ht="27.75" customHeight="1" x14ac:dyDescent="0.25">
      <c r="A6" s="90" t="s">
        <v>762</v>
      </c>
      <c r="B6" s="92" t="s">
        <v>764</v>
      </c>
      <c r="C6" s="91" t="s">
        <v>1045</v>
      </c>
      <c r="D6" s="115">
        <v>100000</v>
      </c>
      <c r="E6" s="91" t="s">
        <v>1046</v>
      </c>
      <c r="F6" s="116"/>
    </row>
    <row r="7" spans="1:6" ht="15.75" customHeight="1" x14ac:dyDescent="0.25">
      <c r="A7" s="194" t="s">
        <v>1047</v>
      </c>
      <c r="B7" s="194"/>
      <c r="C7" s="194"/>
      <c r="D7" s="119">
        <f>D4+D5+D6</f>
        <v>350000</v>
      </c>
      <c r="E7" s="120"/>
      <c r="F7" s="120"/>
    </row>
    <row r="8" spans="1:6" ht="27.75" customHeight="1" x14ac:dyDescent="0.25">
      <c r="A8" s="90" t="s">
        <v>359</v>
      </c>
      <c r="B8" s="92" t="s">
        <v>1048</v>
      </c>
      <c r="C8" s="91" t="s">
        <v>1049</v>
      </c>
      <c r="D8" s="115">
        <v>100000</v>
      </c>
      <c r="E8" s="91" t="s">
        <v>1050</v>
      </c>
      <c r="F8" s="116"/>
    </row>
    <row r="9" spans="1:6" ht="27.75" customHeight="1" x14ac:dyDescent="0.25">
      <c r="A9" s="100" t="s">
        <v>359</v>
      </c>
      <c r="B9" s="102" t="s">
        <v>1048</v>
      </c>
      <c r="C9" s="101" t="s">
        <v>1051</v>
      </c>
      <c r="D9" s="117">
        <v>50000</v>
      </c>
      <c r="E9" s="101" t="s">
        <v>1052</v>
      </c>
      <c r="F9" s="118"/>
    </row>
    <row r="10" spans="1:6" ht="27.75" customHeight="1" x14ac:dyDescent="0.25">
      <c r="A10" s="90" t="s">
        <v>359</v>
      </c>
      <c r="B10" s="92" t="s">
        <v>1048</v>
      </c>
      <c r="C10" s="91" t="s">
        <v>1053</v>
      </c>
      <c r="D10" s="115">
        <v>50000</v>
      </c>
      <c r="E10" s="91" t="s">
        <v>1054</v>
      </c>
      <c r="F10" s="116"/>
    </row>
    <row r="11" spans="1:6" ht="15.75" customHeight="1" x14ac:dyDescent="0.25">
      <c r="A11" s="194" t="s">
        <v>1055</v>
      </c>
      <c r="B11" s="194"/>
      <c r="C11" s="194"/>
      <c r="D11" s="119">
        <f>D8+D9+D10</f>
        <v>200000</v>
      </c>
      <c r="E11" s="120"/>
      <c r="F11" s="120"/>
    </row>
    <row r="12" spans="1:6" ht="27.75" customHeight="1" x14ac:dyDescent="0.25">
      <c r="A12" s="90" t="s">
        <v>1056</v>
      </c>
      <c r="B12" s="92" t="s">
        <v>335</v>
      </c>
      <c r="C12" s="91" t="s">
        <v>1057</v>
      </c>
      <c r="D12" s="115">
        <v>150000</v>
      </c>
      <c r="E12" s="91" t="s">
        <v>1058</v>
      </c>
      <c r="F12" s="116"/>
    </row>
    <row r="13" spans="1:6" ht="15.75" customHeight="1" x14ac:dyDescent="0.25">
      <c r="A13" s="194" t="s">
        <v>1059</v>
      </c>
      <c r="B13" s="194"/>
      <c r="C13" s="194"/>
      <c r="D13" s="119">
        <f>D12</f>
        <v>150000</v>
      </c>
      <c r="E13" s="120"/>
      <c r="F13" s="120"/>
    </row>
    <row r="14" spans="1:6" ht="27.75" customHeight="1" x14ac:dyDescent="0.25">
      <c r="A14" s="90" t="s">
        <v>582</v>
      </c>
      <c r="B14" s="92" t="s">
        <v>1060</v>
      </c>
      <c r="C14" s="91" t="s">
        <v>1061</v>
      </c>
      <c r="D14" s="115">
        <v>60000</v>
      </c>
      <c r="E14" s="91" t="s">
        <v>1062</v>
      </c>
      <c r="F14" s="116"/>
    </row>
    <row r="15" spans="1:6" ht="27.75" customHeight="1" x14ac:dyDescent="0.25">
      <c r="A15" s="100" t="s">
        <v>582</v>
      </c>
      <c r="B15" s="102" t="s">
        <v>1060</v>
      </c>
      <c r="C15" s="101" t="s">
        <v>1063</v>
      </c>
      <c r="D15" s="117">
        <v>40000</v>
      </c>
      <c r="E15" s="101" t="s">
        <v>1064</v>
      </c>
      <c r="F15" s="118"/>
    </row>
    <row r="16" spans="1:6" ht="27.75" customHeight="1" x14ac:dyDescent="0.25">
      <c r="A16" s="90" t="s">
        <v>582</v>
      </c>
      <c r="B16" s="92" t="s">
        <v>1060</v>
      </c>
      <c r="C16" s="91" t="s">
        <v>1065</v>
      </c>
      <c r="D16" s="115">
        <v>50000</v>
      </c>
      <c r="E16" s="91" t="s">
        <v>1066</v>
      </c>
      <c r="F16" s="116"/>
    </row>
    <row r="17" spans="1:6" ht="15.75" customHeight="1" x14ac:dyDescent="0.25">
      <c r="A17" s="194" t="s">
        <v>1067</v>
      </c>
      <c r="B17" s="194"/>
      <c r="C17" s="194"/>
      <c r="D17" s="119">
        <f>D14+D15+D16</f>
        <v>150000</v>
      </c>
      <c r="E17" s="120"/>
      <c r="F17" s="120"/>
    </row>
    <row r="18" spans="1:6" ht="27.75" customHeight="1" x14ac:dyDescent="0.25">
      <c r="A18" s="90" t="s">
        <v>323</v>
      </c>
      <c r="B18" s="92" t="s">
        <v>1068</v>
      </c>
      <c r="C18" s="91" t="s">
        <v>1069</v>
      </c>
      <c r="D18" s="115">
        <v>100000</v>
      </c>
      <c r="E18" s="91" t="s">
        <v>1070</v>
      </c>
      <c r="F18" s="116"/>
    </row>
    <row r="19" spans="1:6" ht="27.75" customHeight="1" x14ac:dyDescent="0.25">
      <c r="A19" s="100" t="s">
        <v>323</v>
      </c>
      <c r="B19" s="102" t="s">
        <v>1068</v>
      </c>
      <c r="C19" s="101" t="s">
        <v>1071</v>
      </c>
      <c r="D19" s="117">
        <v>150000</v>
      </c>
      <c r="E19" s="101" t="s">
        <v>1072</v>
      </c>
      <c r="F19" s="118"/>
    </row>
    <row r="20" spans="1:6" ht="15.75" customHeight="1" x14ac:dyDescent="0.25">
      <c r="A20" s="194" t="s">
        <v>1073</v>
      </c>
      <c r="B20" s="194"/>
      <c r="C20" s="194"/>
      <c r="D20" s="119">
        <f>D18+D19</f>
        <v>250000</v>
      </c>
      <c r="E20" s="120"/>
      <c r="F20" s="120"/>
    </row>
    <row r="21" spans="1:6" ht="27.75" customHeight="1" x14ac:dyDescent="0.25">
      <c r="A21" s="90" t="s">
        <v>530</v>
      </c>
      <c r="B21" s="92" t="s">
        <v>535</v>
      </c>
      <c r="C21" s="91" t="s">
        <v>1074</v>
      </c>
      <c r="D21" s="115">
        <v>40000</v>
      </c>
      <c r="E21" s="91" t="s">
        <v>1075</v>
      </c>
      <c r="F21" s="116"/>
    </row>
    <row r="22" spans="1:6" ht="27.75" customHeight="1" x14ac:dyDescent="0.25">
      <c r="A22" s="100" t="s">
        <v>530</v>
      </c>
      <c r="B22" s="102" t="s">
        <v>535</v>
      </c>
      <c r="C22" s="101" t="s">
        <v>1076</v>
      </c>
      <c r="D22" s="117">
        <v>60000</v>
      </c>
      <c r="E22" s="101" t="s">
        <v>1077</v>
      </c>
      <c r="F22" s="118"/>
    </row>
    <row r="23" spans="1:6" ht="15.75" customHeight="1" x14ac:dyDescent="0.25">
      <c r="A23" s="194" t="s">
        <v>1078</v>
      </c>
      <c r="B23" s="194"/>
      <c r="C23" s="194"/>
      <c r="D23" s="119">
        <f>D21+D22</f>
        <v>100000</v>
      </c>
      <c r="E23" s="120"/>
      <c r="F23" s="120"/>
    </row>
    <row r="24" spans="1:6" ht="27.75" customHeight="1" x14ac:dyDescent="0.25">
      <c r="A24" s="90" t="s">
        <v>556</v>
      </c>
      <c r="B24" s="92" t="s">
        <v>1079</v>
      </c>
      <c r="C24" s="91" t="s">
        <v>1080</v>
      </c>
      <c r="D24" s="115">
        <v>100000</v>
      </c>
      <c r="E24" s="91" t="s">
        <v>1081</v>
      </c>
      <c r="F24" s="116"/>
    </row>
    <row r="25" spans="1:6" ht="27.75" customHeight="1" x14ac:dyDescent="0.25">
      <c r="A25" s="100" t="s">
        <v>556</v>
      </c>
      <c r="B25" s="102" t="s">
        <v>1079</v>
      </c>
      <c r="C25" s="101" t="s">
        <v>1082</v>
      </c>
      <c r="D25" s="117">
        <v>100000</v>
      </c>
      <c r="E25" s="101" t="s">
        <v>1083</v>
      </c>
      <c r="F25" s="118"/>
    </row>
    <row r="26" spans="1:6" ht="15.75" customHeight="1" x14ac:dyDescent="0.25">
      <c r="A26" s="194" t="s">
        <v>1084</v>
      </c>
      <c r="B26" s="194"/>
      <c r="C26" s="194"/>
      <c r="D26" s="119">
        <f>D24+D25</f>
        <v>200000</v>
      </c>
      <c r="E26" s="120"/>
      <c r="F26" s="120"/>
    </row>
    <row r="27" spans="1:6" ht="27.75" customHeight="1" x14ac:dyDescent="0.25">
      <c r="A27" s="90" t="s">
        <v>458</v>
      </c>
      <c r="B27" s="92" t="s">
        <v>1085</v>
      </c>
      <c r="C27" s="91" t="s">
        <v>1086</v>
      </c>
      <c r="D27" s="115">
        <v>200000</v>
      </c>
      <c r="E27" s="91" t="s">
        <v>1087</v>
      </c>
      <c r="F27" s="116"/>
    </row>
    <row r="28" spans="1:6" ht="27.75" customHeight="1" x14ac:dyDescent="0.25">
      <c r="A28" s="100" t="s">
        <v>458</v>
      </c>
      <c r="B28" s="102" t="s">
        <v>1085</v>
      </c>
      <c r="C28" s="101" t="s">
        <v>1088</v>
      </c>
      <c r="D28" s="117">
        <v>100000</v>
      </c>
      <c r="E28" s="101" t="s">
        <v>1089</v>
      </c>
      <c r="F28" s="118"/>
    </row>
    <row r="29" spans="1:6" ht="15.75" customHeight="1" x14ac:dyDescent="0.25">
      <c r="A29" s="194" t="s">
        <v>1090</v>
      </c>
      <c r="B29" s="194"/>
      <c r="C29" s="194"/>
      <c r="D29" s="119">
        <f>D27+D28</f>
        <v>300000</v>
      </c>
      <c r="E29" s="120"/>
      <c r="F29" s="120"/>
    </row>
    <row r="30" spans="1:6" ht="27.75" customHeight="1" x14ac:dyDescent="0.25">
      <c r="A30" s="90" t="s">
        <v>439</v>
      </c>
      <c r="B30" s="92" t="s">
        <v>1091</v>
      </c>
      <c r="C30" s="91" t="s">
        <v>1092</v>
      </c>
      <c r="D30" s="115">
        <v>120000</v>
      </c>
      <c r="E30" s="91" t="s">
        <v>1093</v>
      </c>
      <c r="F30" s="116"/>
    </row>
    <row r="31" spans="1:6" ht="27.75" customHeight="1" x14ac:dyDescent="0.25">
      <c r="A31" s="100" t="s">
        <v>439</v>
      </c>
      <c r="B31" s="102" t="s">
        <v>1091</v>
      </c>
      <c r="C31" s="101" t="s">
        <v>1094</v>
      </c>
      <c r="D31" s="117">
        <v>60000</v>
      </c>
      <c r="E31" s="101" t="s">
        <v>1095</v>
      </c>
      <c r="F31" s="118"/>
    </row>
    <row r="32" spans="1:6" ht="15.75" customHeight="1" x14ac:dyDescent="0.25">
      <c r="A32" s="194" t="s">
        <v>1096</v>
      </c>
      <c r="B32" s="194"/>
      <c r="C32" s="194"/>
      <c r="D32" s="119">
        <f>D30+D31</f>
        <v>180000</v>
      </c>
      <c r="E32" s="120"/>
      <c r="F32" s="120"/>
    </row>
    <row r="33" spans="1:6" ht="27.75" customHeight="1" x14ac:dyDescent="0.25">
      <c r="A33" s="90" t="s">
        <v>689</v>
      </c>
      <c r="B33" s="92" t="s">
        <v>1097</v>
      </c>
      <c r="C33" s="91" t="s">
        <v>1098</v>
      </c>
      <c r="D33" s="115">
        <v>100000</v>
      </c>
      <c r="E33" s="91" t="s">
        <v>1099</v>
      </c>
      <c r="F33" s="116"/>
    </row>
    <row r="34" spans="1:6" ht="27.75" customHeight="1" x14ac:dyDescent="0.25">
      <c r="A34" s="100" t="s">
        <v>689</v>
      </c>
      <c r="B34" s="102" t="s">
        <v>1097</v>
      </c>
      <c r="C34" s="101" t="s">
        <v>1100</v>
      </c>
      <c r="D34" s="117">
        <v>50000</v>
      </c>
      <c r="E34" s="101" t="s">
        <v>1101</v>
      </c>
      <c r="F34" s="118"/>
    </row>
    <row r="35" spans="1:6" ht="15.75" customHeight="1" x14ac:dyDescent="0.25">
      <c r="A35" s="194" t="s">
        <v>1102</v>
      </c>
      <c r="B35" s="194"/>
      <c r="C35" s="194"/>
      <c r="D35" s="119">
        <f>D33+D34</f>
        <v>150000</v>
      </c>
      <c r="E35" s="120"/>
      <c r="F35" s="120"/>
    </row>
    <row r="36" spans="1:6" ht="27.75" customHeight="1" x14ac:dyDescent="0.25">
      <c r="A36" s="90" t="s">
        <v>1103</v>
      </c>
      <c r="B36" s="92" t="s">
        <v>1104</v>
      </c>
      <c r="C36" s="91" t="s">
        <v>1105</v>
      </c>
      <c r="D36" s="115">
        <v>45000</v>
      </c>
      <c r="E36" s="91" t="s">
        <v>1106</v>
      </c>
      <c r="F36" s="116"/>
    </row>
    <row r="37" spans="1:6" ht="27.75" customHeight="1" x14ac:dyDescent="0.25">
      <c r="A37" s="100" t="s">
        <v>1103</v>
      </c>
      <c r="B37" s="102" t="s">
        <v>1104</v>
      </c>
      <c r="C37" s="101" t="s">
        <v>1107</v>
      </c>
      <c r="D37" s="117">
        <v>35000</v>
      </c>
      <c r="E37" s="101" t="s">
        <v>1108</v>
      </c>
      <c r="F37" s="118"/>
    </row>
    <row r="38" spans="1:6" ht="15.75" customHeight="1" x14ac:dyDescent="0.25">
      <c r="A38" s="194" t="s">
        <v>1109</v>
      </c>
      <c r="B38" s="194"/>
      <c r="C38" s="194"/>
      <c r="D38" s="119">
        <f>D36+D37</f>
        <v>80000</v>
      </c>
      <c r="E38" s="120"/>
      <c r="F38" s="120"/>
    </row>
    <row r="39" spans="1:6" ht="27.75" customHeight="1" x14ac:dyDescent="0.25">
      <c r="A39" s="90" t="s">
        <v>1110</v>
      </c>
      <c r="B39" s="92" t="s">
        <v>1111</v>
      </c>
      <c r="C39" s="91" t="s">
        <v>1112</v>
      </c>
      <c r="D39" s="115">
        <v>120000</v>
      </c>
      <c r="E39" s="91" t="s">
        <v>1113</v>
      </c>
      <c r="F39" s="116"/>
    </row>
    <row r="40" spans="1:6" ht="15.75" customHeight="1" x14ac:dyDescent="0.25">
      <c r="A40" s="194" t="s">
        <v>1114</v>
      </c>
      <c r="B40" s="194"/>
      <c r="C40" s="194"/>
      <c r="D40" s="119">
        <f>D39</f>
        <v>120000</v>
      </c>
      <c r="E40" s="120"/>
      <c r="F40" s="120"/>
    </row>
    <row r="41" spans="1:6" ht="27.75" customHeight="1" x14ac:dyDescent="0.25">
      <c r="A41" s="90" t="s">
        <v>1115</v>
      </c>
      <c r="B41" s="92" t="s">
        <v>1116</v>
      </c>
      <c r="C41" s="91" t="s">
        <v>1117</v>
      </c>
      <c r="D41" s="115">
        <v>50000</v>
      </c>
      <c r="E41" s="91" t="s">
        <v>1118</v>
      </c>
      <c r="F41" s="116"/>
    </row>
    <row r="42" spans="1:6" ht="27.75" customHeight="1" x14ac:dyDescent="0.25">
      <c r="A42" s="100" t="s">
        <v>1115</v>
      </c>
      <c r="B42" s="102" t="s">
        <v>1116</v>
      </c>
      <c r="C42" s="101" t="s">
        <v>1119</v>
      </c>
      <c r="D42" s="117">
        <v>60000</v>
      </c>
      <c r="E42" s="101" t="s">
        <v>1120</v>
      </c>
      <c r="F42" s="118"/>
    </row>
    <row r="43" spans="1:6" ht="15.75" customHeight="1" x14ac:dyDescent="0.25">
      <c r="A43" s="194" t="s">
        <v>1121</v>
      </c>
      <c r="B43" s="194"/>
      <c r="C43" s="194"/>
      <c r="D43" s="119">
        <f>D41+D42</f>
        <v>110000</v>
      </c>
      <c r="E43" s="120"/>
      <c r="F43" s="120"/>
    </row>
    <row r="44" spans="1:6" ht="27.75" customHeight="1" x14ac:dyDescent="0.25">
      <c r="A44" s="90" t="s">
        <v>569</v>
      </c>
      <c r="B44" s="92" t="s">
        <v>1122</v>
      </c>
      <c r="C44" s="91" t="s">
        <v>1123</v>
      </c>
      <c r="D44" s="115">
        <v>100000</v>
      </c>
      <c r="E44" s="91" t="s">
        <v>1124</v>
      </c>
      <c r="F44" s="116"/>
    </row>
    <row r="45" spans="1:6" ht="27.75" customHeight="1" x14ac:dyDescent="0.25">
      <c r="A45" s="100" t="s">
        <v>569</v>
      </c>
      <c r="B45" s="102" t="s">
        <v>1122</v>
      </c>
      <c r="C45" s="101" t="s">
        <v>1125</v>
      </c>
      <c r="D45" s="117">
        <v>50000</v>
      </c>
      <c r="E45" s="101" t="s">
        <v>1126</v>
      </c>
      <c r="F45" s="118"/>
    </row>
    <row r="46" spans="1:6" ht="15.75" customHeight="1" x14ac:dyDescent="0.25">
      <c r="A46" s="194" t="s">
        <v>1127</v>
      </c>
      <c r="B46" s="194"/>
      <c r="C46" s="194"/>
      <c r="D46" s="119">
        <f>D44+D45</f>
        <v>150000</v>
      </c>
      <c r="E46" s="120"/>
      <c r="F46" s="120"/>
    </row>
    <row r="47" spans="1:6" ht="27.75" customHeight="1" x14ac:dyDescent="0.25">
      <c r="A47" s="90" t="s">
        <v>669</v>
      </c>
      <c r="B47" s="92" t="s">
        <v>1128</v>
      </c>
      <c r="C47" s="91" t="s">
        <v>1129</v>
      </c>
      <c r="D47" s="115">
        <v>120000</v>
      </c>
      <c r="E47" s="91" t="s">
        <v>1130</v>
      </c>
      <c r="F47" s="116"/>
    </row>
    <row r="48" spans="1:6" ht="15.75" customHeight="1" x14ac:dyDescent="0.25">
      <c r="A48" s="194" t="s">
        <v>1131</v>
      </c>
      <c r="B48" s="194"/>
      <c r="C48" s="194"/>
      <c r="D48" s="119">
        <f>D47</f>
        <v>120000</v>
      </c>
      <c r="E48" s="120"/>
      <c r="F48" s="120"/>
    </row>
    <row r="49" spans="1:6" ht="27.75" customHeight="1" x14ac:dyDescent="0.25">
      <c r="A49" s="90" t="s">
        <v>1132</v>
      </c>
      <c r="B49" s="92" t="s">
        <v>1133</v>
      </c>
      <c r="C49" s="91" t="s">
        <v>1134</v>
      </c>
      <c r="D49" s="115">
        <v>200000</v>
      </c>
      <c r="E49" s="91" t="s">
        <v>1135</v>
      </c>
      <c r="F49" s="116"/>
    </row>
    <row r="50" spans="1:6" ht="15.75" customHeight="1" x14ac:dyDescent="0.25">
      <c r="A50" s="194" t="s">
        <v>1136</v>
      </c>
      <c r="B50" s="194"/>
      <c r="C50" s="194"/>
      <c r="D50" s="119">
        <f>D49</f>
        <v>200000</v>
      </c>
      <c r="E50" s="120"/>
      <c r="F50" s="120"/>
    </row>
    <row r="51" spans="1:6" ht="27.75" customHeight="1" x14ac:dyDescent="0.25">
      <c r="A51" s="90" t="s">
        <v>543</v>
      </c>
      <c r="B51" s="92" t="s">
        <v>1137</v>
      </c>
      <c r="C51" s="91" t="s">
        <v>1138</v>
      </c>
      <c r="D51" s="115">
        <v>30000</v>
      </c>
      <c r="E51" s="91" t="s">
        <v>1139</v>
      </c>
      <c r="F51" s="116"/>
    </row>
    <row r="52" spans="1:6" ht="27.75" customHeight="1" x14ac:dyDescent="0.25">
      <c r="A52" s="100" t="s">
        <v>543</v>
      </c>
      <c r="B52" s="102" t="s">
        <v>1137</v>
      </c>
      <c r="C52" s="101" t="s">
        <v>1140</v>
      </c>
      <c r="D52" s="117">
        <v>20000</v>
      </c>
      <c r="E52" s="101" t="s">
        <v>1141</v>
      </c>
      <c r="F52" s="118"/>
    </row>
    <row r="53" spans="1:6" ht="15.75" customHeight="1" x14ac:dyDescent="0.25">
      <c r="A53" s="194" t="s">
        <v>1142</v>
      </c>
      <c r="B53" s="194"/>
      <c r="C53" s="194"/>
      <c r="D53" s="119">
        <f>D51+D52</f>
        <v>50000</v>
      </c>
      <c r="E53" s="120"/>
      <c r="F53" s="120"/>
    </row>
    <row r="54" spans="1:6" ht="27.75" customHeight="1" x14ac:dyDescent="0.25">
      <c r="A54" s="90" t="s">
        <v>701</v>
      </c>
      <c r="B54" s="92" t="s">
        <v>1143</v>
      </c>
      <c r="C54" s="91" t="s">
        <v>1144</v>
      </c>
      <c r="D54" s="115">
        <v>70000</v>
      </c>
      <c r="E54" s="91" t="s">
        <v>1145</v>
      </c>
      <c r="F54" s="116"/>
    </row>
    <row r="55" spans="1:6" ht="27.75" customHeight="1" x14ac:dyDescent="0.25">
      <c r="A55" s="100" t="s">
        <v>701</v>
      </c>
      <c r="B55" s="102" t="s">
        <v>1143</v>
      </c>
      <c r="C55" s="101" t="s">
        <v>1146</v>
      </c>
      <c r="D55" s="117">
        <v>30000</v>
      </c>
      <c r="E55" s="101" t="s">
        <v>1147</v>
      </c>
      <c r="F55" s="118"/>
    </row>
    <row r="56" spans="1:6" ht="15.75" customHeight="1" x14ac:dyDescent="0.25">
      <c r="A56" s="194" t="s">
        <v>1148</v>
      </c>
      <c r="B56" s="194"/>
      <c r="C56" s="194"/>
      <c r="D56" s="119">
        <f>D54+D55</f>
        <v>100000</v>
      </c>
      <c r="E56" s="120"/>
      <c r="F56" s="120"/>
    </row>
    <row r="57" spans="1:6" ht="27.75" customHeight="1" x14ac:dyDescent="0.25">
      <c r="A57" s="90" t="s">
        <v>740</v>
      </c>
      <c r="B57" s="92" t="s">
        <v>1149</v>
      </c>
      <c r="C57" s="91" t="s">
        <v>1150</v>
      </c>
      <c r="D57" s="115">
        <v>80000</v>
      </c>
      <c r="E57" s="91" t="s">
        <v>1151</v>
      </c>
      <c r="F57" s="116"/>
    </row>
    <row r="58" spans="1:6" ht="27.75" customHeight="1" x14ac:dyDescent="0.25">
      <c r="A58" s="100" t="s">
        <v>740</v>
      </c>
      <c r="B58" s="102" t="s">
        <v>1149</v>
      </c>
      <c r="C58" s="101" t="s">
        <v>1152</v>
      </c>
      <c r="D58" s="117">
        <v>40000</v>
      </c>
      <c r="E58" s="101" t="s">
        <v>1153</v>
      </c>
      <c r="F58" s="118"/>
    </row>
    <row r="59" spans="1:6" ht="15.75" customHeight="1" x14ac:dyDescent="0.25">
      <c r="A59" s="194" t="s">
        <v>1154</v>
      </c>
      <c r="B59" s="194"/>
      <c r="C59" s="194"/>
      <c r="D59" s="119">
        <f>D57+D58</f>
        <v>120000</v>
      </c>
      <c r="E59" s="120"/>
      <c r="F59" s="120"/>
    </row>
    <row r="60" spans="1:6" ht="27.75" customHeight="1" x14ac:dyDescent="0.25">
      <c r="A60" s="90" t="s">
        <v>384</v>
      </c>
      <c r="B60" s="92" t="s">
        <v>1155</v>
      </c>
      <c r="C60" s="91" t="s">
        <v>1156</v>
      </c>
      <c r="D60" s="115">
        <v>60000</v>
      </c>
      <c r="E60" s="91" t="s">
        <v>1157</v>
      </c>
      <c r="F60" s="116"/>
    </row>
    <row r="61" spans="1:6" ht="27.75" customHeight="1" x14ac:dyDescent="0.25">
      <c r="A61" s="100" t="s">
        <v>384</v>
      </c>
      <c r="B61" s="102" t="s">
        <v>1155</v>
      </c>
      <c r="C61" s="101" t="s">
        <v>1158</v>
      </c>
      <c r="D61" s="117">
        <v>20000</v>
      </c>
      <c r="E61" s="101" t="s">
        <v>1159</v>
      </c>
      <c r="F61" s="118"/>
    </row>
    <row r="62" spans="1:6" ht="15.75" customHeight="1" x14ac:dyDescent="0.25">
      <c r="A62" s="194" t="s">
        <v>1160</v>
      </c>
      <c r="B62" s="194"/>
      <c r="C62" s="194"/>
      <c r="D62" s="119">
        <f>D60+D61</f>
        <v>80000</v>
      </c>
      <c r="E62" s="120"/>
      <c r="F62" s="120"/>
    </row>
    <row r="63" spans="1:6" ht="27.75" customHeight="1" x14ac:dyDescent="0.25">
      <c r="A63" s="90" t="s">
        <v>595</v>
      </c>
      <c r="B63" s="92" t="s">
        <v>1161</v>
      </c>
      <c r="C63" s="91" t="s">
        <v>1162</v>
      </c>
      <c r="D63" s="115">
        <v>70000</v>
      </c>
      <c r="E63" s="91" t="s">
        <v>1163</v>
      </c>
      <c r="F63" s="116"/>
    </row>
    <row r="64" spans="1:6" ht="15.75" customHeight="1" x14ac:dyDescent="0.25">
      <c r="A64" s="194" t="s">
        <v>1164</v>
      </c>
      <c r="B64" s="194"/>
      <c r="C64" s="194"/>
      <c r="D64" s="119">
        <f>D63</f>
        <v>70000</v>
      </c>
      <c r="E64" s="120"/>
      <c r="F64" s="120"/>
    </row>
    <row r="65" spans="1:6" ht="27.75" customHeight="1" x14ac:dyDescent="0.25">
      <c r="A65" s="90" t="s">
        <v>408</v>
      </c>
      <c r="B65" s="92" t="s">
        <v>409</v>
      </c>
      <c r="C65" s="91" t="s">
        <v>1165</v>
      </c>
      <c r="D65" s="115">
        <v>55000</v>
      </c>
      <c r="E65" s="91" t="s">
        <v>1166</v>
      </c>
      <c r="F65" s="116"/>
    </row>
    <row r="66" spans="1:6" ht="27.75" customHeight="1" x14ac:dyDescent="0.25">
      <c r="A66" s="100" t="s">
        <v>408</v>
      </c>
      <c r="B66" s="102" t="s">
        <v>409</v>
      </c>
      <c r="C66" s="101" t="s">
        <v>1167</v>
      </c>
      <c r="D66" s="117">
        <v>25000</v>
      </c>
      <c r="E66" s="101" t="s">
        <v>1168</v>
      </c>
      <c r="F66" s="118"/>
    </row>
    <row r="67" spans="1:6" ht="15.75" customHeight="1" x14ac:dyDescent="0.25">
      <c r="A67" s="194" t="s">
        <v>1169</v>
      </c>
      <c r="B67" s="194"/>
      <c r="C67" s="194"/>
      <c r="D67" s="119">
        <f>D65+D66</f>
        <v>80000</v>
      </c>
      <c r="E67" s="120"/>
      <c r="F67" s="120"/>
    </row>
    <row r="68" spans="1:6" ht="27.75" customHeight="1" x14ac:dyDescent="0.25">
      <c r="A68" s="90" t="s">
        <v>1170</v>
      </c>
      <c r="B68" s="92" t="s">
        <v>1171</v>
      </c>
      <c r="C68" s="91" t="s">
        <v>1172</v>
      </c>
      <c r="D68" s="115">
        <v>60000</v>
      </c>
      <c r="E68" s="91" t="s">
        <v>1173</v>
      </c>
      <c r="F68" s="116"/>
    </row>
    <row r="69" spans="1:6" ht="27.75" customHeight="1" x14ac:dyDescent="0.25">
      <c r="A69" s="100" t="s">
        <v>1170</v>
      </c>
      <c r="B69" s="102" t="s">
        <v>1171</v>
      </c>
      <c r="C69" s="101" t="s">
        <v>1174</v>
      </c>
      <c r="D69" s="117">
        <v>20000</v>
      </c>
      <c r="E69" s="101" t="s">
        <v>1175</v>
      </c>
      <c r="F69" s="118"/>
    </row>
    <row r="70" spans="1:6" ht="15.75" customHeight="1" x14ac:dyDescent="0.25">
      <c r="A70" s="194" t="s">
        <v>1176</v>
      </c>
      <c r="B70" s="194"/>
      <c r="C70" s="194"/>
      <c r="D70" s="119">
        <f>D68+D69</f>
        <v>80000</v>
      </c>
      <c r="E70" s="120"/>
      <c r="F70" s="120"/>
    </row>
    <row r="71" spans="1:6" ht="27.75" customHeight="1" x14ac:dyDescent="0.25">
      <c r="A71" s="90" t="s">
        <v>1177</v>
      </c>
      <c r="B71" s="92" t="s">
        <v>1178</v>
      </c>
      <c r="C71" s="91" t="s">
        <v>1179</v>
      </c>
      <c r="D71" s="115">
        <v>20000</v>
      </c>
      <c r="E71" s="91" t="s">
        <v>1180</v>
      </c>
      <c r="F71" s="116"/>
    </row>
    <row r="72" spans="1:6" ht="27.75" customHeight="1" x14ac:dyDescent="0.25">
      <c r="A72" s="100" t="s">
        <v>1177</v>
      </c>
      <c r="B72" s="102" t="s">
        <v>1178</v>
      </c>
      <c r="C72" s="101" t="s">
        <v>1181</v>
      </c>
      <c r="D72" s="117">
        <v>20000</v>
      </c>
      <c r="E72" s="101" t="s">
        <v>1182</v>
      </c>
      <c r="F72" s="118"/>
    </row>
    <row r="73" spans="1:6" ht="15.75" customHeight="1" x14ac:dyDescent="0.25">
      <c r="A73" s="194" t="s">
        <v>1183</v>
      </c>
      <c r="B73" s="194"/>
      <c r="C73" s="194"/>
      <c r="D73" s="119">
        <f>D71+D72</f>
        <v>40000</v>
      </c>
      <c r="E73" s="120"/>
      <c r="F73" s="120"/>
    </row>
    <row r="74" spans="1:6" ht="27.75" customHeight="1" x14ac:dyDescent="0.25">
      <c r="A74" s="90" t="s">
        <v>1184</v>
      </c>
      <c r="B74" s="92" t="s">
        <v>1185</v>
      </c>
      <c r="C74" s="91" t="s">
        <v>1186</v>
      </c>
      <c r="D74" s="115">
        <v>40000</v>
      </c>
      <c r="E74" s="91" t="s">
        <v>1187</v>
      </c>
      <c r="F74" s="116"/>
    </row>
    <row r="75" spans="1:6" ht="27.75" customHeight="1" x14ac:dyDescent="0.25">
      <c r="A75" s="100" t="s">
        <v>1184</v>
      </c>
      <c r="B75" s="102" t="s">
        <v>1185</v>
      </c>
      <c r="C75" s="101" t="s">
        <v>1188</v>
      </c>
      <c r="D75" s="117">
        <v>20000</v>
      </c>
      <c r="E75" s="101" t="s">
        <v>1189</v>
      </c>
      <c r="F75" s="118"/>
    </row>
    <row r="76" spans="1:6" ht="15.75" customHeight="1" x14ac:dyDescent="0.25">
      <c r="A76" s="194" t="s">
        <v>1190</v>
      </c>
      <c r="B76" s="194"/>
      <c r="C76" s="194"/>
      <c r="D76" s="119">
        <f>D74+D75</f>
        <v>60000</v>
      </c>
      <c r="E76" s="120"/>
      <c r="F76" s="120"/>
    </row>
    <row r="77" spans="1:6" ht="27.75" customHeight="1" x14ac:dyDescent="0.25">
      <c r="A77" s="90" t="s">
        <v>420</v>
      </c>
      <c r="B77" s="92" t="s">
        <v>1191</v>
      </c>
      <c r="C77" s="91" t="s">
        <v>1192</v>
      </c>
      <c r="D77" s="115">
        <v>20000</v>
      </c>
      <c r="E77" s="91" t="s">
        <v>1193</v>
      </c>
      <c r="F77" s="116"/>
    </row>
    <row r="78" spans="1:6" ht="27.75" customHeight="1" x14ac:dyDescent="0.25">
      <c r="A78" s="100" t="s">
        <v>420</v>
      </c>
      <c r="B78" s="102" t="s">
        <v>1191</v>
      </c>
      <c r="C78" s="101" t="s">
        <v>1194</v>
      </c>
      <c r="D78" s="117">
        <v>20000</v>
      </c>
      <c r="E78" s="101" t="s">
        <v>1195</v>
      </c>
      <c r="F78" s="118"/>
    </row>
    <row r="79" spans="1:6" ht="15.75" customHeight="1" x14ac:dyDescent="0.25">
      <c r="A79" s="194" t="s">
        <v>1196</v>
      </c>
      <c r="B79" s="194"/>
      <c r="C79" s="194"/>
      <c r="D79" s="119">
        <f>D77+D78</f>
        <v>40000</v>
      </c>
      <c r="E79" s="120"/>
      <c r="F79" s="120"/>
    </row>
    <row r="80" spans="1:6" ht="27.75" customHeight="1" x14ac:dyDescent="0.25">
      <c r="A80" s="90" t="s">
        <v>469</v>
      </c>
      <c r="B80" s="92" t="s">
        <v>470</v>
      </c>
      <c r="C80" s="91" t="s">
        <v>1197</v>
      </c>
      <c r="D80" s="115">
        <v>25000</v>
      </c>
      <c r="E80" s="91" t="s">
        <v>1198</v>
      </c>
      <c r="F80" s="116"/>
    </row>
    <row r="81" spans="1:6" ht="15.75" customHeight="1" x14ac:dyDescent="0.25">
      <c r="A81" s="194" t="s">
        <v>1199</v>
      </c>
      <c r="B81" s="194"/>
      <c r="C81" s="194"/>
      <c r="D81" s="119">
        <f>D80</f>
        <v>25000</v>
      </c>
      <c r="E81" s="120"/>
      <c r="F81" s="120"/>
    </row>
    <row r="82" spans="1:6" ht="27.75" customHeight="1" x14ac:dyDescent="0.25">
      <c r="A82" s="90" t="s">
        <v>480</v>
      </c>
      <c r="B82" s="92" t="s">
        <v>1200</v>
      </c>
      <c r="C82" s="91" t="s">
        <v>1201</v>
      </c>
      <c r="D82" s="115">
        <v>35000</v>
      </c>
      <c r="E82" s="91" t="s">
        <v>1202</v>
      </c>
      <c r="F82" s="116"/>
    </row>
    <row r="83" spans="1:6" ht="15.75" customHeight="1" x14ac:dyDescent="0.25">
      <c r="A83" s="194" t="s">
        <v>1203</v>
      </c>
      <c r="B83" s="194"/>
      <c r="C83" s="194"/>
      <c r="D83" s="119">
        <f>D82</f>
        <v>35000</v>
      </c>
      <c r="E83" s="120"/>
      <c r="F83" s="120"/>
    </row>
    <row r="84" spans="1:6" ht="27.75" customHeight="1" x14ac:dyDescent="0.25">
      <c r="A84" s="90" t="s">
        <v>520</v>
      </c>
      <c r="B84" s="92" t="s">
        <v>525</v>
      </c>
      <c r="C84" s="91" t="s">
        <v>1204</v>
      </c>
      <c r="D84" s="115">
        <v>30000</v>
      </c>
      <c r="E84" s="91" t="s">
        <v>1205</v>
      </c>
      <c r="F84" s="116"/>
    </row>
    <row r="85" spans="1:6" ht="15.75" customHeight="1" x14ac:dyDescent="0.25">
      <c r="A85" s="194" t="s">
        <v>1206</v>
      </c>
      <c r="B85" s="194"/>
      <c r="C85" s="194"/>
      <c r="D85" s="119">
        <f>D84</f>
        <v>30000</v>
      </c>
      <c r="E85" s="120"/>
      <c r="F85" s="120"/>
    </row>
    <row r="86" spans="1:6" ht="27.75" customHeight="1" x14ac:dyDescent="0.25">
      <c r="A86" s="90" t="s">
        <v>650</v>
      </c>
      <c r="B86" s="92" t="s">
        <v>1207</v>
      </c>
      <c r="C86" s="91" t="s">
        <v>1208</v>
      </c>
      <c r="D86" s="115">
        <v>75000</v>
      </c>
      <c r="E86" s="91" t="s">
        <v>1209</v>
      </c>
      <c r="F86" s="116"/>
    </row>
    <row r="87" spans="1:6" ht="15.75" customHeight="1" x14ac:dyDescent="0.25">
      <c r="A87" s="194" t="s">
        <v>1210</v>
      </c>
      <c r="B87" s="194"/>
      <c r="C87" s="194"/>
      <c r="D87" s="119">
        <f>D86</f>
        <v>75000</v>
      </c>
      <c r="E87" s="120"/>
      <c r="F87" s="120"/>
    </row>
    <row r="88" spans="1:6" ht="27.75" customHeight="1" x14ac:dyDescent="0.25">
      <c r="A88" s="90" t="s">
        <v>730</v>
      </c>
      <c r="B88" s="92" t="s">
        <v>1211</v>
      </c>
      <c r="C88" s="91" t="s">
        <v>1212</v>
      </c>
      <c r="D88" s="115">
        <v>50000</v>
      </c>
      <c r="E88" s="91" t="s">
        <v>1213</v>
      </c>
      <c r="F88" s="116"/>
    </row>
    <row r="89" spans="1:6" ht="15.75" customHeight="1" x14ac:dyDescent="0.25">
      <c r="A89" s="194" t="s">
        <v>1214</v>
      </c>
      <c r="B89" s="194"/>
      <c r="C89" s="194"/>
      <c r="D89" s="119">
        <f>D88</f>
        <v>50000</v>
      </c>
      <c r="E89" s="120"/>
      <c r="F89" s="120"/>
    </row>
    <row r="90" spans="1:6" ht="27.75" customHeight="1" x14ac:dyDescent="0.25">
      <c r="A90" s="90" t="s">
        <v>813</v>
      </c>
      <c r="B90" s="92" t="s">
        <v>1215</v>
      </c>
      <c r="C90" s="91" t="s">
        <v>1216</v>
      </c>
      <c r="D90" s="115">
        <v>30000</v>
      </c>
      <c r="E90" s="91" t="s">
        <v>1217</v>
      </c>
      <c r="F90" s="116"/>
    </row>
    <row r="91" spans="1:6" ht="15.75" customHeight="1" x14ac:dyDescent="0.25">
      <c r="A91" s="194" t="s">
        <v>1218</v>
      </c>
      <c r="B91" s="194"/>
      <c r="C91" s="194"/>
      <c r="D91" s="119">
        <f>D90</f>
        <v>30000</v>
      </c>
      <c r="E91" s="120"/>
      <c r="F91" s="120"/>
    </row>
    <row r="92" spans="1:6" ht="24" customHeight="1" x14ac:dyDescent="0.25">
      <c r="A92" s="195" t="s">
        <v>1219</v>
      </c>
      <c r="B92" s="195"/>
      <c r="C92" s="195"/>
      <c r="D92" s="121">
        <f>SUM(D4:D91)</f>
        <v>7550000</v>
      </c>
      <c r="E92" s="122"/>
      <c r="F92" s="122"/>
    </row>
    <row r="94" spans="1:6" ht="18" customHeight="1" x14ac:dyDescent="0.25">
      <c r="A94" s="196" t="s">
        <v>1220</v>
      </c>
      <c r="B94" s="196"/>
      <c r="C94" s="196"/>
      <c r="D94" s="196"/>
      <c r="E94" s="196"/>
      <c r="F94" s="196"/>
    </row>
    <row r="95" spans="1:6" ht="15" customHeight="1" x14ac:dyDescent="0.25">
      <c r="A95" s="197" t="s">
        <v>1221</v>
      </c>
      <c r="B95" s="197"/>
      <c r="C95" s="197"/>
      <c r="D95" s="197"/>
      <c r="E95" s="197"/>
      <c r="F95" s="197"/>
    </row>
    <row r="96" spans="1:6" ht="15" customHeight="1" x14ac:dyDescent="0.25">
      <c r="A96" s="197" t="s">
        <v>1222</v>
      </c>
      <c r="B96" s="197"/>
      <c r="C96" s="197"/>
      <c r="D96" s="197"/>
      <c r="E96" s="197"/>
      <c r="F96" s="197"/>
    </row>
    <row r="97" spans="1:6" ht="15" customHeight="1" x14ac:dyDescent="0.25">
      <c r="A97" s="197" t="s">
        <v>1223</v>
      </c>
      <c r="B97" s="197"/>
      <c r="C97" s="197"/>
      <c r="D97" s="197"/>
      <c r="E97" s="197"/>
      <c r="F97" s="197"/>
    </row>
    <row r="98" spans="1:6" ht="15" customHeight="1" x14ac:dyDescent="0.25">
      <c r="A98" s="197" t="s">
        <v>1224</v>
      </c>
      <c r="B98" s="197"/>
      <c r="C98" s="197"/>
      <c r="D98" s="197"/>
      <c r="E98" s="197"/>
      <c r="F98" s="197"/>
    </row>
    <row r="99" spans="1:6" ht="15" customHeight="1" x14ac:dyDescent="0.25">
      <c r="A99" s="197" t="s">
        <v>1225</v>
      </c>
      <c r="B99" s="197"/>
      <c r="C99" s="197"/>
      <c r="D99" s="197"/>
      <c r="E99" s="197"/>
      <c r="F99" s="197"/>
    </row>
    <row r="100" spans="1:6" ht="15" customHeight="1" x14ac:dyDescent="0.25">
      <c r="A100" s="197" t="s">
        <v>1226</v>
      </c>
      <c r="B100" s="197"/>
      <c r="C100" s="197"/>
      <c r="D100" s="197"/>
      <c r="E100" s="197"/>
      <c r="F100" s="197"/>
    </row>
  </sheetData>
  <mergeCells count="42">
    <mergeCell ref="A99:F99"/>
    <mergeCell ref="A100:F100"/>
    <mergeCell ref="A94:F94"/>
    <mergeCell ref="A95:F95"/>
    <mergeCell ref="A96:F96"/>
    <mergeCell ref="A97:F97"/>
    <mergeCell ref="A98:F98"/>
    <mergeCell ref="A85:C85"/>
    <mergeCell ref="A87:C87"/>
    <mergeCell ref="A89:C89"/>
    <mergeCell ref="A91:C91"/>
    <mergeCell ref="A92:C92"/>
    <mergeCell ref="A73:C73"/>
    <mergeCell ref="A76:C76"/>
    <mergeCell ref="A79:C79"/>
    <mergeCell ref="A81:C81"/>
    <mergeCell ref="A83:C83"/>
    <mergeCell ref="A59:C59"/>
    <mergeCell ref="A62:C62"/>
    <mergeCell ref="A64:C64"/>
    <mergeCell ref="A67:C67"/>
    <mergeCell ref="A70:C70"/>
    <mergeCell ref="A46:C46"/>
    <mergeCell ref="A48:C48"/>
    <mergeCell ref="A50:C50"/>
    <mergeCell ref="A53:C53"/>
    <mergeCell ref="A56:C56"/>
    <mergeCell ref="A32:C32"/>
    <mergeCell ref="A35:C35"/>
    <mergeCell ref="A38:C38"/>
    <mergeCell ref="A40:C40"/>
    <mergeCell ref="A43:C43"/>
    <mergeCell ref="A17:C17"/>
    <mergeCell ref="A20:C20"/>
    <mergeCell ref="A23:C23"/>
    <mergeCell ref="A26:C26"/>
    <mergeCell ref="A29:C29"/>
    <mergeCell ref="A1:F1"/>
    <mergeCell ref="A2:F2"/>
    <mergeCell ref="A7:C7"/>
    <mergeCell ref="A11:C11"/>
    <mergeCell ref="A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95959"/>
  </sheetPr>
  <dimension ref="A1:H25"/>
  <sheetViews>
    <sheetView showGridLines="0" zoomScale="85" zoomScaleNormal="85" workbookViewId="0">
      <selection activeCell="C7" sqref="C7"/>
    </sheetView>
  </sheetViews>
  <sheetFormatPr defaultColWidth="8.7109375" defaultRowHeight="15" x14ac:dyDescent="0.25"/>
  <cols>
    <col min="1" max="1" width="12" style="15" customWidth="1"/>
    <col min="2" max="2" width="16" style="15" customWidth="1"/>
    <col min="3" max="3" width="61" style="15" customWidth="1"/>
  </cols>
  <sheetData>
    <row r="1" spans="1:8" ht="30" customHeight="1" x14ac:dyDescent="0.25">
      <c r="A1" s="168" t="s">
        <v>1227</v>
      </c>
      <c r="B1" s="168"/>
      <c r="C1" s="168"/>
      <c r="D1" s="168"/>
      <c r="E1" s="168"/>
      <c r="F1" s="168"/>
      <c r="G1" s="168"/>
      <c r="H1" s="168"/>
    </row>
    <row r="3" spans="1:8" ht="21.75" customHeight="1" x14ac:dyDescent="0.25">
      <c r="A3" s="198" t="s">
        <v>192</v>
      </c>
      <c r="B3" s="198"/>
      <c r="C3" s="198"/>
      <c r="D3" s="198"/>
      <c r="E3" s="198"/>
      <c r="F3" s="198"/>
      <c r="G3" s="198"/>
      <c r="H3" s="198"/>
    </row>
    <row r="4" spans="1:8" ht="15" customHeight="1" x14ac:dyDescent="0.25">
      <c r="A4" s="123" t="s">
        <v>194</v>
      </c>
      <c r="B4" s="123" t="s">
        <v>195</v>
      </c>
      <c r="C4" s="123" t="s">
        <v>196</v>
      </c>
    </row>
    <row r="5" spans="1:8" ht="19.5" customHeight="1" x14ac:dyDescent="0.25">
      <c r="A5" s="124">
        <v>1</v>
      </c>
      <c r="B5" s="124" t="s">
        <v>197</v>
      </c>
      <c r="C5" s="125" t="s">
        <v>198</v>
      </c>
    </row>
    <row r="6" spans="1:8" ht="19.5" customHeight="1" x14ac:dyDescent="0.25">
      <c r="A6" s="126">
        <v>2</v>
      </c>
      <c r="B6" s="126" t="s">
        <v>201</v>
      </c>
      <c r="C6" s="127" t="s">
        <v>202</v>
      </c>
    </row>
    <row r="7" spans="1:8" ht="19.5" customHeight="1" x14ac:dyDescent="0.25">
      <c r="A7" s="128">
        <v>3</v>
      </c>
      <c r="B7" s="128" t="s">
        <v>205</v>
      </c>
      <c r="C7" s="129" t="s">
        <v>1228</v>
      </c>
    </row>
    <row r="8" spans="1:8" ht="19.5" customHeight="1" x14ac:dyDescent="0.25">
      <c r="A8" s="130">
        <v>4</v>
      </c>
      <c r="B8" s="130" t="s">
        <v>209</v>
      </c>
      <c r="C8" s="131" t="s">
        <v>210</v>
      </c>
    </row>
    <row r="9" spans="1:8" ht="19.5" customHeight="1" x14ac:dyDescent="0.25">
      <c r="A9" s="132">
        <v>5</v>
      </c>
      <c r="B9" s="132" t="s">
        <v>212</v>
      </c>
      <c r="C9" s="133" t="s">
        <v>213</v>
      </c>
    </row>
    <row r="11" spans="1:8" ht="21.75" customHeight="1" x14ac:dyDescent="0.25">
      <c r="A11" s="198" t="s">
        <v>193</v>
      </c>
      <c r="B11" s="198"/>
      <c r="C11" s="198"/>
      <c r="D11" s="198"/>
      <c r="E11" s="198"/>
      <c r="F11" s="198"/>
      <c r="G11" s="198"/>
      <c r="H11" s="198"/>
    </row>
    <row r="12" spans="1:8" ht="15" customHeight="1" x14ac:dyDescent="0.25">
      <c r="A12" s="123" t="s">
        <v>194</v>
      </c>
      <c r="B12" s="123" t="s">
        <v>195</v>
      </c>
      <c r="C12" s="123" t="s">
        <v>196</v>
      </c>
    </row>
    <row r="13" spans="1:8" ht="19.5" customHeight="1" x14ac:dyDescent="0.25">
      <c r="A13" s="124">
        <v>1</v>
      </c>
      <c r="B13" s="124" t="s">
        <v>199</v>
      </c>
      <c r="C13" s="125" t="s">
        <v>200</v>
      </c>
    </row>
    <row r="14" spans="1:8" ht="19.5" customHeight="1" x14ac:dyDescent="0.25">
      <c r="A14" s="126">
        <v>2</v>
      </c>
      <c r="B14" s="126" t="s">
        <v>203</v>
      </c>
      <c r="C14" s="127" t="s">
        <v>204</v>
      </c>
    </row>
    <row r="15" spans="1:8" ht="19.5" customHeight="1" x14ac:dyDescent="0.25">
      <c r="A15" s="128">
        <v>3</v>
      </c>
      <c r="B15" s="128" t="s">
        <v>207</v>
      </c>
      <c r="C15" s="129" t="s">
        <v>208</v>
      </c>
    </row>
    <row r="16" spans="1:8" ht="19.5" customHeight="1" x14ac:dyDescent="0.25">
      <c r="A16" s="130">
        <v>4</v>
      </c>
      <c r="B16" s="130" t="s">
        <v>4</v>
      </c>
      <c r="C16" s="131" t="s">
        <v>1229</v>
      </c>
    </row>
    <row r="17" spans="1:8" ht="19.5" customHeight="1" x14ac:dyDescent="0.25">
      <c r="A17" s="132">
        <v>5</v>
      </c>
      <c r="B17" s="132" t="s">
        <v>3</v>
      </c>
      <c r="C17" s="133" t="s">
        <v>1230</v>
      </c>
    </row>
    <row r="19" spans="1:8" ht="21.75" customHeight="1" x14ac:dyDescent="0.25">
      <c r="A19" s="198" t="s">
        <v>1231</v>
      </c>
      <c r="B19" s="198"/>
      <c r="C19" s="198"/>
      <c r="D19" s="198"/>
      <c r="E19" s="198"/>
      <c r="F19" s="198"/>
      <c r="G19" s="198"/>
      <c r="H19" s="198"/>
    </row>
    <row r="20" spans="1:8" ht="15" customHeight="1" x14ac:dyDescent="0.25">
      <c r="A20" s="123" t="s">
        <v>216</v>
      </c>
      <c r="B20" s="123" t="s">
        <v>217</v>
      </c>
      <c r="C20" s="123" t="s">
        <v>218</v>
      </c>
    </row>
    <row r="21" spans="1:8" ht="21.75" customHeight="1" x14ac:dyDescent="0.25">
      <c r="A21" s="124" t="s">
        <v>1232</v>
      </c>
      <c r="B21" s="134" t="s">
        <v>199</v>
      </c>
      <c r="C21" s="125" t="s">
        <v>220</v>
      </c>
    </row>
    <row r="22" spans="1:8" ht="21.75" customHeight="1" x14ac:dyDescent="0.25">
      <c r="A22" s="126" t="s">
        <v>1233</v>
      </c>
      <c r="B22" s="135" t="s">
        <v>203</v>
      </c>
      <c r="C22" s="127" t="s">
        <v>1234</v>
      </c>
    </row>
    <row r="23" spans="1:8" ht="21.75" customHeight="1" x14ac:dyDescent="0.25">
      <c r="A23" s="128" t="s">
        <v>1235</v>
      </c>
      <c r="B23" s="136" t="s">
        <v>207</v>
      </c>
      <c r="C23" s="129" t="s">
        <v>224</v>
      </c>
    </row>
    <row r="24" spans="1:8" ht="21.75" customHeight="1" x14ac:dyDescent="0.25">
      <c r="A24" s="130" t="s">
        <v>1236</v>
      </c>
      <c r="B24" s="137" t="s">
        <v>4</v>
      </c>
      <c r="C24" s="131" t="s">
        <v>226</v>
      </c>
    </row>
    <row r="25" spans="1:8" ht="21.75" customHeight="1" x14ac:dyDescent="0.25">
      <c r="A25" s="132" t="s">
        <v>1237</v>
      </c>
      <c r="B25" s="138" t="s">
        <v>3</v>
      </c>
      <c r="C25" s="133" t="s">
        <v>1238</v>
      </c>
    </row>
  </sheetData>
  <mergeCells count="4">
    <mergeCell ref="A1:H1"/>
    <mergeCell ref="A3:H3"/>
    <mergeCell ref="A11:H11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"/>
  <sheetViews>
    <sheetView zoomScaleNormal="100" workbookViewId="0"/>
  </sheetViews>
  <sheetFormatPr defaultColWidth="8.7109375" defaultRowHeight="15" x14ac:dyDescent="0.25"/>
  <cols>
    <col min="1" max="1" width="22" style="15" customWidth="1"/>
    <col min="2" max="2" width="3" style="15" customWidth="1"/>
    <col min="3" max="7" width="14" style="15" customWidth="1"/>
    <col min="8" max="8" width="40" style="15" customWidth="1"/>
  </cols>
  <sheetData>
    <row r="1" spans="1:8" ht="37.5" customHeight="1" x14ac:dyDescent="0.25">
      <c r="A1" s="171" t="s">
        <v>1239</v>
      </c>
      <c r="B1" s="171"/>
      <c r="C1" s="171"/>
      <c r="D1" s="171"/>
      <c r="E1" s="171"/>
      <c r="F1" s="171"/>
      <c r="G1" s="171"/>
      <c r="H1" s="171"/>
    </row>
    <row r="2" spans="1:8" ht="21.75" customHeight="1" x14ac:dyDescent="0.25">
      <c r="A2" s="172" t="s">
        <v>1240</v>
      </c>
      <c r="B2" s="172"/>
      <c r="C2" s="172"/>
      <c r="D2" s="172"/>
      <c r="E2" s="172"/>
      <c r="F2" s="172"/>
      <c r="G2" s="172"/>
      <c r="H2" s="172"/>
    </row>
    <row r="3" spans="1:8" ht="9.75" customHeight="1" x14ac:dyDescent="0.25"/>
    <row r="4" spans="1:8" ht="27.75" customHeight="1" x14ac:dyDescent="0.25">
      <c r="A4" s="199" t="s">
        <v>1241</v>
      </c>
      <c r="C4" s="200" t="s">
        <v>1242</v>
      </c>
      <c r="D4" s="200" t="s">
        <v>1243</v>
      </c>
      <c r="E4" s="200" t="s">
        <v>1244</v>
      </c>
      <c r="F4" s="200" t="s">
        <v>1245</v>
      </c>
      <c r="G4" s="200" t="s">
        <v>1246</v>
      </c>
    </row>
    <row r="5" spans="1:8" ht="19.5" customHeight="1" x14ac:dyDescent="0.25">
      <c r="A5" s="199"/>
      <c r="C5" s="200"/>
      <c r="D5" s="200"/>
      <c r="E5" s="200"/>
      <c r="F5" s="200"/>
      <c r="G5" s="200"/>
    </row>
    <row r="6" spans="1:8" ht="37.5" customHeight="1" x14ac:dyDescent="0.25">
      <c r="A6" s="139" t="s">
        <v>1247</v>
      </c>
      <c r="C6" s="140" t="s">
        <v>1248</v>
      </c>
      <c r="D6" s="140" t="s">
        <v>1249</v>
      </c>
      <c r="E6" s="141" t="s">
        <v>1250</v>
      </c>
      <c r="F6" s="142" t="s">
        <v>1251</v>
      </c>
      <c r="G6" s="142" t="s">
        <v>1252</v>
      </c>
    </row>
    <row r="7" spans="1:8" ht="37.5" customHeight="1" x14ac:dyDescent="0.25">
      <c r="A7" s="139" t="s">
        <v>257</v>
      </c>
      <c r="C7" s="143" t="s">
        <v>1253</v>
      </c>
      <c r="D7" s="140" t="s">
        <v>1254</v>
      </c>
      <c r="E7" s="141" t="s">
        <v>1255</v>
      </c>
      <c r="F7" s="141" t="s">
        <v>1256</v>
      </c>
      <c r="G7" s="142" t="s">
        <v>1251</v>
      </c>
    </row>
    <row r="8" spans="1:8" ht="37.5" customHeight="1" x14ac:dyDescent="0.25">
      <c r="A8" s="139" t="s">
        <v>256</v>
      </c>
      <c r="C8" s="143" t="s">
        <v>1257</v>
      </c>
      <c r="D8" s="140" t="s">
        <v>1258</v>
      </c>
      <c r="E8" s="140" t="s">
        <v>1259</v>
      </c>
      <c r="F8" s="141" t="s">
        <v>1255</v>
      </c>
      <c r="G8" s="141" t="s">
        <v>1250</v>
      </c>
    </row>
    <row r="9" spans="1:8" ht="37.5" customHeight="1" x14ac:dyDescent="0.25">
      <c r="A9" s="139" t="s">
        <v>255</v>
      </c>
      <c r="C9" s="144" t="s">
        <v>1260</v>
      </c>
      <c r="D9" s="143" t="s">
        <v>1253</v>
      </c>
      <c r="E9" s="140" t="s">
        <v>1258</v>
      </c>
      <c r="F9" s="140" t="s">
        <v>1254</v>
      </c>
      <c r="G9" s="140" t="s">
        <v>1249</v>
      </c>
    </row>
    <row r="10" spans="1:8" ht="37.5" customHeight="1" x14ac:dyDescent="0.25">
      <c r="A10" s="139" t="s">
        <v>254</v>
      </c>
      <c r="C10" s="144" t="s">
        <v>1261</v>
      </c>
      <c r="D10" s="144" t="s">
        <v>1260</v>
      </c>
      <c r="E10" s="143" t="s">
        <v>1257</v>
      </c>
      <c r="F10" s="143" t="s">
        <v>1253</v>
      </c>
      <c r="G10" s="140" t="s">
        <v>1248</v>
      </c>
    </row>
    <row r="12" spans="1:8" ht="12" customHeight="1" x14ac:dyDescent="0.25"/>
    <row r="13" spans="1:8" ht="24" customHeight="1" x14ac:dyDescent="0.25">
      <c r="A13" s="201" t="s">
        <v>1262</v>
      </c>
      <c r="B13" s="201"/>
      <c r="C13" s="201"/>
      <c r="D13" s="201"/>
      <c r="E13" s="201"/>
      <c r="F13" s="201"/>
      <c r="G13" s="201"/>
      <c r="H13" s="201"/>
    </row>
    <row r="14" spans="1:8" ht="24" customHeight="1" x14ac:dyDescent="0.25">
      <c r="A14" s="145" t="s">
        <v>1263</v>
      </c>
      <c r="C14" s="145" t="s">
        <v>1264</v>
      </c>
      <c r="D14" s="202" t="s">
        <v>1265</v>
      </c>
      <c r="E14" s="202"/>
      <c r="F14" s="202"/>
      <c r="G14" s="202"/>
      <c r="H14" s="202"/>
    </row>
    <row r="15" spans="1:8" ht="24" customHeight="1" x14ac:dyDescent="0.25">
      <c r="A15" s="146" t="s">
        <v>1266</v>
      </c>
      <c r="C15" s="146" t="s">
        <v>1267</v>
      </c>
      <c r="D15" s="203" t="s">
        <v>1268</v>
      </c>
      <c r="E15" s="203"/>
      <c r="F15" s="203"/>
      <c r="G15" s="203"/>
      <c r="H15" s="203"/>
    </row>
    <row r="16" spans="1:8" ht="24" customHeight="1" x14ac:dyDescent="0.25">
      <c r="A16" s="147" t="s">
        <v>1269</v>
      </c>
      <c r="C16" s="147" t="s">
        <v>1270</v>
      </c>
      <c r="D16" s="204" t="s">
        <v>224</v>
      </c>
      <c r="E16" s="204"/>
      <c r="F16" s="204"/>
      <c r="G16" s="204"/>
      <c r="H16" s="204"/>
    </row>
    <row r="17" spans="1:8" ht="24" customHeight="1" x14ac:dyDescent="0.25">
      <c r="A17" s="148" t="s">
        <v>1271</v>
      </c>
      <c r="C17" s="148" t="s">
        <v>1272</v>
      </c>
      <c r="D17" s="205" t="s">
        <v>1234</v>
      </c>
      <c r="E17" s="205"/>
      <c r="F17" s="205"/>
      <c r="G17" s="205"/>
      <c r="H17" s="205"/>
    </row>
    <row r="18" spans="1:8" ht="24" customHeight="1" x14ac:dyDescent="0.25">
      <c r="A18" s="149" t="s">
        <v>1273</v>
      </c>
      <c r="C18" s="149" t="s">
        <v>1274</v>
      </c>
      <c r="D18" s="206" t="s">
        <v>220</v>
      </c>
      <c r="E18" s="206"/>
      <c r="F18" s="206"/>
      <c r="G18" s="206"/>
      <c r="H18" s="206"/>
    </row>
  </sheetData>
  <mergeCells count="14">
    <mergeCell ref="D18:H18"/>
    <mergeCell ref="A13:H13"/>
    <mergeCell ref="D14:H14"/>
    <mergeCell ref="D15:H15"/>
    <mergeCell ref="D16:H16"/>
    <mergeCell ref="D17:H17"/>
    <mergeCell ref="A1:H1"/>
    <mergeCell ref="A2:H2"/>
    <mergeCell ref="A4:A5"/>
    <mergeCell ref="C4:C5"/>
    <mergeCell ref="D4:D5"/>
    <mergeCell ref="E4:E5"/>
    <mergeCell ref="F4:F5"/>
    <mergeCell ref="G4:G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zoomScaleNormal="100" workbookViewId="0">
      <selection activeCell="F6" sqref="F6"/>
    </sheetView>
  </sheetViews>
  <sheetFormatPr defaultColWidth="8.7109375" defaultRowHeight="15" x14ac:dyDescent="0.25"/>
  <cols>
    <col min="1" max="1" width="20" style="15" customWidth="1"/>
    <col min="2" max="6" width="14" style="15" customWidth="1"/>
    <col min="7" max="7" width="4" style="15" customWidth="1"/>
    <col min="8" max="8" width="45" style="15" customWidth="1"/>
  </cols>
  <sheetData>
    <row r="1" spans="1:9" ht="37.5" customHeight="1" x14ac:dyDescent="0.25">
      <c r="A1" s="171" t="s">
        <v>1275</v>
      </c>
      <c r="B1" s="171"/>
      <c r="C1" s="171"/>
      <c r="D1" s="171"/>
      <c r="E1" s="171"/>
      <c r="F1" s="171"/>
      <c r="G1" s="171"/>
      <c r="H1" s="171"/>
      <c r="I1" s="171"/>
    </row>
    <row r="2" spans="1:9" ht="21.75" customHeight="1" x14ac:dyDescent="0.25">
      <c r="A2" s="172" t="s">
        <v>1276</v>
      </c>
      <c r="B2" s="172"/>
      <c r="C2" s="172"/>
      <c r="D2" s="172"/>
      <c r="E2" s="172"/>
      <c r="F2" s="172"/>
      <c r="G2" s="172"/>
      <c r="H2" s="172"/>
      <c r="I2" s="172"/>
    </row>
    <row r="3" spans="1:9" ht="9.75" customHeight="1" x14ac:dyDescent="0.25"/>
    <row r="4" spans="1:9" ht="30" customHeight="1" x14ac:dyDescent="0.25">
      <c r="A4" s="150" t="s">
        <v>1241</v>
      </c>
      <c r="B4" s="139" t="s">
        <v>1242</v>
      </c>
      <c r="C4" s="139" t="s">
        <v>1243</v>
      </c>
      <c r="D4" s="139" t="s">
        <v>1244</v>
      </c>
      <c r="E4" s="139" t="s">
        <v>1245</v>
      </c>
      <c r="F4" s="139" t="s">
        <v>1246</v>
      </c>
      <c r="H4" s="139" t="s">
        <v>1277</v>
      </c>
    </row>
    <row r="5" spans="1:9" ht="48" customHeight="1" x14ac:dyDescent="0.25">
      <c r="A5" s="139" t="s">
        <v>1247</v>
      </c>
      <c r="B5" s="151" t="s">
        <v>1278</v>
      </c>
      <c r="C5" s="151" t="s">
        <v>1278</v>
      </c>
      <c r="D5" s="152" t="s">
        <v>1278</v>
      </c>
      <c r="E5" s="153" t="s">
        <v>308</v>
      </c>
      <c r="F5" s="154" t="s">
        <v>1278</v>
      </c>
      <c r="H5" s="155" t="s">
        <v>308</v>
      </c>
    </row>
    <row r="6" spans="1:9" ht="93.75" customHeight="1" x14ac:dyDescent="0.25">
      <c r="A6" s="139" t="s">
        <v>257</v>
      </c>
      <c r="B6" s="156" t="s">
        <v>1278</v>
      </c>
      <c r="C6" s="151" t="s">
        <v>1278</v>
      </c>
      <c r="D6" s="152" t="s">
        <v>1278</v>
      </c>
      <c r="E6" s="152" t="s">
        <v>1278</v>
      </c>
      <c r="F6" s="153" t="s">
        <v>1279</v>
      </c>
      <c r="H6" s="155" t="s">
        <v>1280</v>
      </c>
    </row>
    <row r="7" spans="1:9" ht="48" customHeight="1" x14ac:dyDescent="0.25">
      <c r="A7" s="139" t="s">
        <v>256</v>
      </c>
      <c r="B7" s="156" t="s">
        <v>1278</v>
      </c>
      <c r="C7" s="151" t="s">
        <v>1278</v>
      </c>
      <c r="D7" s="151" t="s">
        <v>1278</v>
      </c>
      <c r="E7" s="157" t="s">
        <v>1281</v>
      </c>
      <c r="F7" s="152" t="s">
        <v>1278</v>
      </c>
      <c r="H7" s="155" t="s">
        <v>1282</v>
      </c>
    </row>
    <row r="8" spans="1:9" ht="48" customHeight="1" x14ac:dyDescent="0.25">
      <c r="A8" s="139" t="s">
        <v>255</v>
      </c>
      <c r="B8" s="158" t="s">
        <v>1278</v>
      </c>
      <c r="C8" s="156" t="s">
        <v>1278</v>
      </c>
      <c r="D8" s="151" t="s">
        <v>1278</v>
      </c>
      <c r="E8" s="151" t="s">
        <v>1278</v>
      </c>
      <c r="F8" s="151" t="s">
        <v>1278</v>
      </c>
      <c r="H8" s="155" t="s">
        <v>1283</v>
      </c>
    </row>
    <row r="9" spans="1:9" ht="48" customHeight="1" x14ac:dyDescent="0.25">
      <c r="A9" s="139" t="s">
        <v>254</v>
      </c>
      <c r="B9" s="158" t="s">
        <v>1278</v>
      </c>
      <c r="C9" s="158" t="s">
        <v>1278</v>
      </c>
      <c r="D9" s="156" t="s">
        <v>1278</v>
      </c>
      <c r="E9" s="156" t="s">
        <v>1278</v>
      </c>
      <c r="F9" s="151" t="s">
        <v>1278</v>
      </c>
      <c r="H9" s="155" t="s">
        <v>1283</v>
      </c>
    </row>
    <row r="11" spans="1:9" ht="12" customHeight="1" x14ac:dyDescent="0.25"/>
    <row r="12" spans="1:9" ht="24" customHeight="1" x14ac:dyDescent="0.25">
      <c r="A12" s="201" t="s">
        <v>1284</v>
      </c>
      <c r="B12" s="201"/>
      <c r="C12" s="201"/>
      <c r="D12" s="201"/>
      <c r="E12" s="201"/>
      <c r="F12" s="201"/>
      <c r="G12" s="201"/>
      <c r="H12" s="201"/>
    </row>
    <row r="13" spans="1:9" ht="21.75" customHeight="1" x14ac:dyDescent="0.25">
      <c r="A13" s="207" t="s">
        <v>1285</v>
      </c>
      <c r="B13" s="207"/>
      <c r="C13" s="207"/>
      <c r="D13" s="207"/>
      <c r="E13" s="207"/>
      <c r="F13" s="207"/>
      <c r="G13" s="207"/>
      <c r="H13" s="207"/>
    </row>
    <row r="14" spans="1:9" ht="21.75" customHeight="1" x14ac:dyDescent="0.25">
      <c r="A14" s="208" t="s">
        <v>1286</v>
      </c>
      <c r="B14" s="208"/>
      <c r="C14" s="208"/>
      <c r="D14" s="208"/>
      <c r="E14" s="208"/>
      <c r="F14" s="208"/>
      <c r="G14" s="208"/>
      <c r="H14" s="208"/>
    </row>
    <row r="15" spans="1:9" ht="21.75" customHeight="1" x14ac:dyDescent="0.25">
      <c r="A15" s="209" t="s">
        <v>1287</v>
      </c>
      <c r="B15" s="209"/>
      <c r="C15" s="209"/>
      <c r="D15" s="209"/>
      <c r="E15" s="209"/>
      <c r="F15" s="209"/>
      <c r="G15" s="209"/>
      <c r="H15" s="209"/>
    </row>
    <row r="16" spans="1:9" ht="21.75" customHeight="1" x14ac:dyDescent="0.25">
      <c r="A16" s="210" t="s">
        <v>1288</v>
      </c>
      <c r="B16" s="210"/>
      <c r="C16" s="210"/>
      <c r="D16" s="210"/>
      <c r="E16" s="210"/>
      <c r="F16" s="210"/>
      <c r="G16" s="210"/>
      <c r="H16" s="210"/>
    </row>
    <row r="17" spans="1:8" ht="21.75" customHeight="1" x14ac:dyDescent="0.25">
      <c r="A17" s="211" t="s">
        <v>1289</v>
      </c>
      <c r="B17" s="211"/>
      <c r="C17" s="211"/>
      <c r="D17" s="211"/>
      <c r="E17" s="211"/>
      <c r="F17" s="211"/>
      <c r="G17" s="211"/>
      <c r="H17" s="211"/>
    </row>
  </sheetData>
  <mergeCells count="8">
    <mergeCell ref="A15:H15"/>
    <mergeCell ref="A16:H16"/>
    <mergeCell ref="A17:H17"/>
    <mergeCell ref="A1:I1"/>
    <mergeCell ref="A2:I2"/>
    <mergeCell ref="A12:H12"/>
    <mergeCell ref="A13:H13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0AD47"/>
  </sheetPr>
  <dimension ref="A1:AF20"/>
  <sheetViews>
    <sheetView showGridLines="0" zoomScaleNormal="100" workbookViewId="0"/>
  </sheetViews>
  <sheetFormatPr defaultColWidth="8.7109375" defaultRowHeight="15" x14ac:dyDescent="0.25"/>
  <cols>
    <col min="1" max="1" width="4" style="15" customWidth="1"/>
    <col min="2" max="2" width="32.7109375" style="15" customWidth="1"/>
    <col min="3" max="3" width="27.85546875" style="15" customWidth="1"/>
    <col min="4" max="4" width="28.5703125" style="15" customWidth="1"/>
    <col min="5" max="5" width="20.28515625" style="15" customWidth="1"/>
    <col min="6" max="6" width="24.42578125" style="15" customWidth="1"/>
    <col min="7" max="8" width="12" style="15" customWidth="1"/>
    <col min="9" max="9" width="10" style="15" customWidth="1"/>
    <col min="10" max="10" width="38.85546875" style="15" customWidth="1"/>
    <col min="11" max="11" width="41.140625" style="15" customWidth="1"/>
    <col min="32" max="32" width="28" style="15" customWidth="1"/>
  </cols>
  <sheetData>
    <row r="1" spans="1:10" ht="34.5" customHeight="1" x14ac:dyDescent="0.25">
      <c r="A1" s="212" t="s">
        <v>1290</v>
      </c>
      <c r="B1" s="212"/>
      <c r="C1" s="212"/>
      <c r="D1" s="212"/>
      <c r="E1" s="212"/>
      <c r="F1" s="212"/>
      <c r="G1" s="212"/>
      <c r="H1" s="212"/>
      <c r="I1" s="212"/>
      <c r="J1" s="212"/>
    </row>
    <row r="2" spans="1:10" ht="19.5" customHeight="1" x14ac:dyDescent="0.25">
      <c r="A2" s="169" t="s">
        <v>1291</v>
      </c>
      <c r="B2" s="169"/>
      <c r="C2" s="169"/>
      <c r="D2" s="169"/>
      <c r="E2" s="169"/>
      <c r="F2" s="169"/>
      <c r="G2" s="169"/>
      <c r="H2" s="169"/>
      <c r="I2" s="169"/>
      <c r="J2" s="169"/>
    </row>
    <row r="4" spans="1:10" ht="24.75" customHeight="1" x14ac:dyDescent="0.25">
      <c r="A4" s="191" t="s">
        <v>1292</v>
      </c>
      <c r="B4" s="191"/>
      <c r="C4" s="191"/>
      <c r="D4" s="191"/>
      <c r="E4" s="191"/>
      <c r="F4" s="191"/>
      <c r="G4" s="191"/>
      <c r="H4" s="191"/>
      <c r="I4" s="191"/>
      <c r="J4" s="191"/>
    </row>
    <row r="5" spans="1:10" ht="24.75" customHeight="1" x14ac:dyDescent="0.25">
      <c r="A5" s="37" t="s">
        <v>55</v>
      </c>
      <c r="B5" s="37" t="s">
        <v>838</v>
      </c>
      <c r="C5" s="37" t="s">
        <v>2</v>
      </c>
      <c r="D5" s="37" t="s">
        <v>3</v>
      </c>
      <c r="E5" s="37" t="s">
        <v>4</v>
      </c>
      <c r="F5" s="37" t="s">
        <v>207</v>
      </c>
      <c r="G5" s="37" t="s">
        <v>843</v>
      </c>
      <c r="H5" s="37" t="s">
        <v>6</v>
      </c>
      <c r="I5" s="37" t="s">
        <v>1293</v>
      </c>
      <c r="J5" s="37" t="s">
        <v>1294</v>
      </c>
    </row>
    <row r="6" spans="1:10" ht="21.75" customHeight="1" x14ac:dyDescent="0.25">
      <c r="A6" s="159">
        <v>1</v>
      </c>
      <c r="B6" s="160" t="s">
        <v>1295</v>
      </c>
      <c r="C6" s="159">
        <v>9</v>
      </c>
      <c r="D6" s="54">
        <v>3</v>
      </c>
      <c r="E6" s="161">
        <v>6</v>
      </c>
      <c r="F6" s="159">
        <v>0</v>
      </c>
      <c r="G6" s="159" t="s">
        <v>1296</v>
      </c>
      <c r="H6" s="159" t="s">
        <v>1297</v>
      </c>
      <c r="I6" s="159">
        <v>3</v>
      </c>
      <c r="J6" s="159">
        <v>2</v>
      </c>
    </row>
    <row r="7" spans="1:10" ht="21.75" customHeight="1" x14ac:dyDescent="0.25">
      <c r="A7" s="162">
        <v>2</v>
      </c>
      <c r="B7" s="163" t="s">
        <v>313</v>
      </c>
      <c r="C7" s="162">
        <v>7</v>
      </c>
      <c r="D7" s="54">
        <v>3</v>
      </c>
      <c r="E7" s="161">
        <v>4</v>
      </c>
      <c r="F7" s="162">
        <v>0</v>
      </c>
      <c r="G7" s="162" t="s">
        <v>1298</v>
      </c>
      <c r="H7" s="162" t="s">
        <v>1299</v>
      </c>
      <c r="I7" s="162">
        <v>4</v>
      </c>
      <c r="J7" s="162">
        <v>1</v>
      </c>
    </row>
    <row r="8" spans="1:10" ht="21.75" customHeight="1" x14ac:dyDescent="0.25">
      <c r="A8" s="159">
        <v>3</v>
      </c>
      <c r="B8" s="160" t="s">
        <v>338</v>
      </c>
      <c r="C8" s="159">
        <v>6</v>
      </c>
      <c r="D8" s="159">
        <v>0</v>
      </c>
      <c r="E8" s="161">
        <v>6</v>
      </c>
      <c r="F8" s="159">
        <v>0</v>
      </c>
      <c r="G8" s="159" t="s">
        <v>1300</v>
      </c>
      <c r="H8" s="159" t="s">
        <v>1297</v>
      </c>
      <c r="I8" s="159">
        <v>3</v>
      </c>
      <c r="J8" s="159">
        <v>1</v>
      </c>
    </row>
    <row r="9" spans="1:10" ht="21.75" customHeight="1" x14ac:dyDescent="0.25">
      <c r="A9" s="162">
        <v>4</v>
      </c>
      <c r="B9" s="163" t="s">
        <v>1301</v>
      </c>
      <c r="C9" s="162">
        <v>6</v>
      </c>
      <c r="D9" s="54">
        <v>1</v>
      </c>
      <c r="E9" s="161">
        <v>4</v>
      </c>
      <c r="F9" s="162">
        <v>1</v>
      </c>
      <c r="G9" s="162" t="s">
        <v>1302</v>
      </c>
      <c r="H9" s="162" t="s">
        <v>1299</v>
      </c>
      <c r="I9" s="162">
        <v>3</v>
      </c>
      <c r="J9" s="162">
        <v>1</v>
      </c>
    </row>
    <row r="10" spans="1:10" ht="21.75" customHeight="1" x14ac:dyDescent="0.25">
      <c r="A10" s="159">
        <v>5</v>
      </c>
      <c r="B10" s="160" t="s">
        <v>512</v>
      </c>
      <c r="C10" s="159">
        <v>4</v>
      </c>
      <c r="D10" s="54">
        <v>1</v>
      </c>
      <c r="E10" s="161">
        <v>3</v>
      </c>
      <c r="F10" s="159">
        <v>0</v>
      </c>
      <c r="G10" s="159" t="s">
        <v>1303</v>
      </c>
      <c r="H10" s="159" t="s">
        <v>1304</v>
      </c>
      <c r="I10" s="159">
        <v>1</v>
      </c>
      <c r="J10" s="159">
        <v>2</v>
      </c>
    </row>
    <row r="11" spans="1:10" ht="21.75" customHeight="1" x14ac:dyDescent="0.25">
      <c r="A11" s="162">
        <v>6</v>
      </c>
      <c r="B11" s="163" t="s">
        <v>993</v>
      </c>
      <c r="C11" s="162">
        <v>5</v>
      </c>
      <c r="D11" s="162">
        <v>0</v>
      </c>
      <c r="E11" s="161">
        <v>5</v>
      </c>
      <c r="F11" s="162">
        <v>0</v>
      </c>
      <c r="G11" s="162" t="s">
        <v>1305</v>
      </c>
      <c r="H11" s="162" t="s">
        <v>1306</v>
      </c>
      <c r="I11" s="162">
        <v>1</v>
      </c>
      <c r="J11" s="162">
        <v>2</v>
      </c>
    </row>
    <row r="12" spans="1:10" ht="21.75" customHeight="1" x14ac:dyDescent="0.25">
      <c r="A12" s="159">
        <v>7</v>
      </c>
      <c r="B12" s="160" t="s">
        <v>1307</v>
      </c>
      <c r="C12" s="159">
        <v>3</v>
      </c>
      <c r="D12" s="54">
        <v>1</v>
      </c>
      <c r="E12" s="161">
        <v>2</v>
      </c>
      <c r="F12" s="159">
        <v>0</v>
      </c>
      <c r="G12" s="159" t="s">
        <v>1308</v>
      </c>
      <c r="H12" s="159" t="s">
        <v>1309</v>
      </c>
      <c r="I12" s="159">
        <v>1</v>
      </c>
      <c r="J12" s="159">
        <v>0</v>
      </c>
    </row>
    <row r="13" spans="1:10" ht="21.75" customHeight="1" x14ac:dyDescent="0.25">
      <c r="A13" s="162">
        <v>8</v>
      </c>
      <c r="B13" s="163" t="s">
        <v>1310</v>
      </c>
      <c r="C13" s="162">
        <v>4</v>
      </c>
      <c r="D13" s="54">
        <v>2</v>
      </c>
      <c r="E13" s="161">
        <v>2</v>
      </c>
      <c r="F13" s="162">
        <v>0</v>
      </c>
      <c r="G13" s="162" t="s">
        <v>1311</v>
      </c>
      <c r="H13" s="162" t="s">
        <v>1306</v>
      </c>
      <c r="I13" s="162">
        <v>1</v>
      </c>
      <c r="J13" s="162">
        <v>2</v>
      </c>
    </row>
    <row r="14" spans="1:10" ht="21.75" customHeight="1" x14ac:dyDescent="0.25">
      <c r="A14" s="159">
        <v>9</v>
      </c>
      <c r="B14" s="160" t="s">
        <v>1312</v>
      </c>
      <c r="C14" s="159">
        <v>2</v>
      </c>
      <c r="D14" s="159">
        <v>0</v>
      </c>
      <c r="E14" s="161">
        <v>2</v>
      </c>
      <c r="F14" s="159">
        <v>0</v>
      </c>
      <c r="G14" s="159" t="s">
        <v>868</v>
      </c>
      <c r="H14" s="159" t="s">
        <v>1313</v>
      </c>
      <c r="I14" s="159">
        <v>0</v>
      </c>
      <c r="J14" s="159">
        <v>0</v>
      </c>
    </row>
    <row r="15" spans="1:10" ht="24.75" customHeight="1" x14ac:dyDescent="0.25">
      <c r="A15" s="18"/>
      <c r="B15" s="164" t="s">
        <v>1314</v>
      </c>
      <c r="C15" s="18">
        <v>46</v>
      </c>
      <c r="D15" s="18">
        <v>11</v>
      </c>
      <c r="E15" s="18">
        <v>34</v>
      </c>
      <c r="F15" s="18">
        <v>1</v>
      </c>
      <c r="G15" s="18" t="s">
        <v>10</v>
      </c>
      <c r="H15" s="18" t="s">
        <v>11</v>
      </c>
      <c r="I15" s="18">
        <v>13</v>
      </c>
      <c r="J15" s="18">
        <v>11</v>
      </c>
    </row>
    <row r="17" spans="1:10" ht="24.75" customHeight="1" x14ac:dyDescent="0.25">
      <c r="A17" s="191" t="s">
        <v>1315</v>
      </c>
      <c r="B17" s="191"/>
      <c r="C17" s="191"/>
      <c r="D17" s="191"/>
      <c r="E17" s="191"/>
      <c r="F17" s="191"/>
      <c r="G17" s="191"/>
      <c r="H17" s="191"/>
      <c r="I17" s="191"/>
      <c r="J17" s="191"/>
    </row>
    <row r="18" spans="1:10" ht="24" customHeight="1" x14ac:dyDescent="0.25">
      <c r="A18" s="167" t="s">
        <v>1316</v>
      </c>
      <c r="B18" s="167"/>
      <c r="C18" s="167"/>
      <c r="D18" s="167" t="s">
        <v>1317</v>
      </c>
      <c r="E18" s="167"/>
      <c r="F18" s="213" t="s">
        <v>1318</v>
      </c>
      <c r="G18" s="213"/>
      <c r="H18" s="213"/>
      <c r="I18" s="213"/>
      <c r="J18" s="213"/>
    </row>
    <row r="19" spans="1:10" ht="24" customHeight="1" x14ac:dyDescent="0.25">
      <c r="A19" s="166" t="s">
        <v>1319</v>
      </c>
      <c r="B19" s="166"/>
      <c r="C19" s="166"/>
      <c r="D19" s="166" t="s">
        <v>1320</v>
      </c>
      <c r="E19" s="166"/>
      <c r="F19" s="213" t="s">
        <v>1321</v>
      </c>
      <c r="G19" s="213"/>
      <c r="H19" s="213"/>
      <c r="I19" s="213"/>
      <c r="J19" s="213"/>
    </row>
    <row r="20" spans="1:10" ht="24" customHeight="1" x14ac:dyDescent="0.25">
      <c r="A20" s="1" t="s">
        <v>1322</v>
      </c>
      <c r="B20" s="1"/>
      <c r="C20" s="1"/>
      <c r="D20" s="1" t="s">
        <v>1323</v>
      </c>
      <c r="E20" s="1"/>
      <c r="F20" s="213" t="s">
        <v>1324</v>
      </c>
      <c r="G20" s="213"/>
      <c r="H20" s="213"/>
      <c r="I20" s="213"/>
      <c r="J20" s="213"/>
    </row>
  </sheetData>
  <mergeCells count="13">
    <mergeCell ref="A19:C19"/>
    <mergeCell ref="D19:E19"/>
    <mergeCell ref="F19:J19"/>
    <mergeCell ref="A20:C20"/>
    <mergeCell ref="D20:E20"/>
    <mergeCell ref="F20:J20"/>
    <mergeCell ref="A1:J1"/>
    <mergeCell ref="A2:J2"/>
    <mergeCell ref="A4:J4"/>
    <mergeCell ref="A17:J17"/>
    <mergeCell ref="A18:C18"/>
    <mergeCell ref="D18:E18"/>
    <mergeCell ref="F18:J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Document Information</vt:lpstr>
      <vt:lpstr>Risk ID Checklist – EN</vt:lpstr>
      <vt:lpstr>Risk ID Checklist – AR</vt:lpstr>
      <vt:lpstr>Risk Methodology</vt:lpstr>
      <vt:lpstr>Risk Scoring Template</vt:lpstr>
      <vt:lpstr>Risk Rigister</vt:lpstr>
      <vt:lpstr>Mitigation Plan</vt:lpstr>
      <vt:lpstr>Budget Assumptions</vt:lpstr>
      <vt:lpstr>Risk Methodology Ref</vt:lpstr>
      <vt:lpstr>Risk Assessment Matrix</vt:lpstr>
      <vt:lpstr>Risk Heat Map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Admin</cp:lastModifiedBy>
  <cp:revision>0</cp:revision>
  <dcterms:created xsi:type="dcterms:W3CDTF">2026-05-18T14:54:07Z</dcterms:created>
  <dcterms:modified xsi:type="dcterms:W3CDTF">2026-06-09T17:34:30Z</dcterms:modified>
  <dc:language>en-US</dc:language>
</cp:coreProperties>
</file>